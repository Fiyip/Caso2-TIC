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ABY\2026-2-SEMESTRE_4\TIC\"/>
    </mc:Choice>
  </mc:AlternateContent>
  <xr:revisionPtr revIDLastSave="0" documentId="8_{9A045727-ECEA-4927-B324-117EF6FC48DC}" xr6:coauthVersionLast="47" xr6:coauthVersionMax="47" xr10:uidLastSave="{00000000-0000-0000-0000-000000000000}"/>
  <bookViews>
    <workbookView xWindow="-110" yWindow="-110" windowWidth="19420" windowHeight="10300" xr2:uid="{F8E14A7C-52A8-4BE8-8EAB-EDCCDD91A1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60" i="1" l="1"/>
  <c r="K60" i="1"/>
  <c r="E60" i="1"/>
  <c r="Q59" i="1"/>
  <c r="K59" i="1"/>
  <c r="E59" i="1"/>
  <c r="Q58" i="1"/>
  <c r="K58" i="1"/>
  <c r="E58" i="1"/>
  <c r="Q71" i="1"/>
  <c r="K71" i="1"/>
  <c r="Q70" i="1"/>
  <c r="K70" i="1"/>
  <c r="Q69" i="1"/>
  <c r="K69" i="1"/>
  <c r="Q68" i="1"/>
  <c r="K68" i="1"/>
  <c r="Q67" i="1"/>
  <c r="K67" i="1"/>
  <c r="Q66" i="1"/>
  <c r="K66" i="1"/>
  <c r="Q65" i="1"/>
  <c r="K65" i="1"/>
  <c r="Q64" i="1"/>
  <c r="K64" i="1"/>
  <c r="Q63" i="1"/>
  <c r="K63" i="1"/>
  <c r="Q57" i="1"/>
  <c r="K57" i="1"/>
  <c r="Q56" i="1"/>
  <c r="K56" i="1"/>
  <c r="Q55" i="1"/>
  <c r="K55" i="1"/>
  <c r="Q54" i="1"/>
  <c r="K54" i="1"/>
  <c r="Q53" i="1"/>
  <c r="K53" i="1"/>
  <c r="Q52" i="1"/>
  <c r="K52" i="1"/>
  <c r="Q49" i="1"/>
  <c r="K49" i="1"/>
  <c r="Q48" i="1"/>
  <c r="K48" i="1"/>
  <c r="Q47" i="1"/>
  <c r="K47" i="1"/>
  <c r="Q46" i="1"/>
  <c r="K46" i="1"/>
  <c r="Q45" i="1"/>
  <c r="K45" i="1"/>
  <c r="Q44" i="1"/>
  <c r="K44" i="1"/>
  <c r="Q43" i="1"/>
  <c r="K43" i="1"/>
  <c r="Q42" i="1"/>
  <c r="K42" i="1"/>
  <c r="Q41" i="1"/>
  <c r="K41" i="1"/>
  <c r="E71" i="1"/>
  <c r="E70" i="1"/>
  <c r="E69" i="1"/>
  <c r="E68" i="1"/>
  <c r="E67" i="1"/>
  <c r="E66" i="1"/>
  <c r="E65" i="1"/>
  <c r="E64" i="1"/>
  <c r="E63" i="1"/>
  <c r="E57" i="1"/>
  <c r="E56" i="1"/>
  <c r="E55" i="1"/>
  <c r="E54" i="1"/>
  <c r="E53" i="1"/>
  <c r="E52" i="1"/>
  <c r="E49" i="1"/>
  <c r="E48" i="1"/>
  <c r="E47" i="1"/>
  <c r="E46" i="1"/>
  <c r="E45" i="1"/>
  <c r="E44" i="1"/>
  <c r="E43" i="1"/>
  <c r="E42" i="1"/>
  <c r="E41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E26" i="1"/>
  <c r="E27" i="1"/>
  <c r="E28" i="1"/>
  <c r="E29" i="1"/>
  <c r="E30" i="1"/>
  <c r="E31" i="1"/>
  <c r="E32" i="1"/>
  <c r="E25" i="1"/>
  <c r="E24" i="1"/>
  <c r="E17" i="1"/>
  <c r="E23" i="1"/>
  <c r="E7" i="1"/>
  <c r="E8" i="1"/>
  <c r="E9" i="1"/>
  <c r="E10" i="1"/>
  <c r="E11" i="1"/>
  <c r="E12" i="1"/>
  <c r="E13" i="1"/>
  <c r="E14" i="1"/>
  <c r="E15" i="1"/>
  <c r="E16" i="1"/>
  <c r="E18" i="1"/>
  <c r="E19" i="1"/>
  <c r="E20" i="1"/>
  <c r="E21" i="1"/>
  <c r="E22" i="1"/>
  <c r="E6" i="1"/>
</calcChain>
</file>

<file path=xl/sharedStrings.xml><?xml version="1.0" encoding="utf-8"?>
<sst xmlns="http://schemas.openxmlformats.org/spreadsheetml/2006/main" count="218" uniqueCount="38">
  <si>
    <t>CASO</t>
  </si>
  <si>
    <t xml:space="preserve">ACCESOS </t>
  </si>
  <si>
    <t>FALLOS</t>
  </si>
  <si>
    <t xml:space="preserve"> </t>
  </si>
  <si>
    <t>4M, 64, FIFO</t>
  </si>
  <si>
    <t>4M, 256, FIFO</t>
  </si>
  <si>
    <t>4M, 1024, FIFO</t>
  </si>
  <si>
    <t>4M, 64, FIFOMOD</t>
  </si>
  <si>
    <t>4M, 256, FIFOMOD</t>
  </si>
  <si>
    <t>4M, 1024, FIFOMOD</t>
  </si>
  <si>
    <t>4M, 64, LRU</t>
  </si>
  <si>
    <t>4M, 256, LRU</t>
  </si>
  <si>
    <t>4M, 1024, LRU</t>
  </si>
  <si>
    <t>8M, 64, FIFO</t>
  </si>
  <si>
    <t>8M, 256, FIFO</t>
  </si>
  <si>
    <t>8M, 1024, FIFO</t>
  </si>
  <si>
    <t>8M, 64, FIFOMOD</t>
  </si>
  <si>
    <t>8M, 256, FIFOMOD</t>
  </si>
  <si>
    <t>8M, 1024, FIFOMOD</t>
  </si>
  <si>
    <t>8M, 64, LRU</t>
  </si>
  <si>
    <t>8M, 256, LRU</t>
  </si>
  <si>
    <t>8M, 1024, LRU</t>
  </si>
  <si>
    <t>TASA</t>
  </si>
  <si>
    <t>16M, 64, FIFO</t>
  </si>
  <si>
    <t>16M, 256, FIFO</t>
  </si>
  <si>
    <t>16M, 1024, FIFO</t>
  </si>
  <si>
    <t>16M, 256, FIFOMOD</t>
  </si>
  <si>
    <t>16M, 1024, FIFOMOD</t>
  </si>
  <si>
    <t>16M, 64, FIFOMOD</t>
  </si>
  <si>
    <t>16M, 64, LRU</t>
  </si>
  <si>
    <t>16M, 256, LRU</t>
  </si>
  <si>
    <t>16M, 1024, LRU</t>
  </si>
  <si>
    <t>128 x 128</t>
  </si>
  <si>
    <t>16 x 16</t>
  </si>
  <si>
    <t>8 x 8</t>
  </si>
  <si>
    <t>TABLAS PARA GRAFICAS 8X8</t>
  </si>
  <si>
    <t>TABLAS PARA GRAFICAS 16X16</t>
  </si>
  <si>
    <t>TABLAS PARA GRAFICAS 128X128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</si>
</sst>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9FA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5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FA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 8X8</a:t>
            </a:r>
            <a:r>
              <a:rPr lang="en-US" baseline="0"/>
              <a:t> (64)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Hoja1!$C$39</c:f>
              <c:strCache>
                <c:ptCount val="1"/>
                <c:pt idx="0">
                  <c:v>ACCESOS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Hoja1!$B$40:$B$49</c:f>
              <c:strCache>
                <c:ptCount val="10"/>
                <c:pt idx="1">
                  <c:v>4M, 64, FIFO</c:v>
                </c:pt>
                <c:pt idx="2">
                  <c:v>4M, 64, FIFOMOD</c:v>
                </c:pt>
                <c:pt idx="3">
                  <c:v>4M, 64, LRU</c:v>
                </c:pt>
                <c:pt idx="4">
                  <c:v>8M, 64, FIFO</c:v>
                </c:pt>
                <c:pt idx="5">
                  <c:v>8M, 64, FIFOMOD</c:v>
                </c:pt>
                <c:pt idx="6">
                  <c:v>8M, 64, LRU</c:v>
                </c:pt>
                <c:pt idx="7">
                  <c:v>16M, 64, FIFO</c:v>
                </c:pt>
                <c:pt idx="8">
                  <c:v>16M, 64, FIFOMOD</c:v>
                </c:pt>
                <c:pt idx="9">
                  <c:v>16M, 64, LRU</c:v>
                </c:pt>
              </c:strCache>
            </c:strRef>
          </c:cat>
          <c:val>
            <c:numRef>
              <c:f>Hoja1!$C$40:$C$49</c:f>
              <c:numCache>
                <c:formatCode>General</c:formatCode>
                <c:ptCount val="10"/>
                <c:pt idx="1">
                  <c:v>1922</c:v>
                </c:pt>
                <c:pt idx="2">
                  <c:v>1922</c:v>
                </c:pt>
                <c:pt idx="3">
                  <c:v>1922</c:v>
                </c:pt>
                <c:pt idx="4">
                  <c:v>1922</c:v>
                </c:pt>
                <c:pt idx="5">
                  <c:v>1922</c:v>
                </c:pt>
                <c:pt idx="6">
                  <c:v>1922</c:v>
                </c:pt>
                <c:pt idx="7">
                  <c:v>1922</c:v>
                </c:pt>
                <c:pt idx="8">
                  <c:v>1922</c:v>
                </c:pt>
                <c:pt idx="9">
                  <c:v>1922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3-44A5-A1D6-2B184AE65B53}"/>
            </c:ext>
          </c:extLst>
        </c:ser>
        <c:ser>
          <c:idx val="1"/>
          <c:order val="1"/>
          <c:tx>
            <c:strRef>
              <c:f>Hoja1!$D$39</c:f>
              <c:strCache>
                <c:ptCount val="1"/>
                <c:pt idx="0">
                  <c:v>FALLOS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Hoja1!$B$40:$B$49</c:f>
              <c:strCache>
                <c:ptCount val="10"/>
                <c:pt idx="1">
                  <c:v>4M, 64, FIFO</c:v>
                </c:pt>
                <c:pt idx="2">
                  <c:v>4M, 64, FIFOMOD</c:v>
                </c:pt>
                <c:pt idx="3">
                  <c:v>4M, 64, LRU</c:v>
                </c:pt>
                <c:pt idx="4">
                  <c:v>8M, 64, FIFO</c:v>
                </c:pt>
                <c:pt idx="5">
                  <c:v>8M, 64, FIFOMOD</c:v>
                </c:pt>
                <c:pt idx="6">
                  <c:v>8M, 64, LRU</c:v>
                </c:pt>
                <c:pt idx="7">
                  <c:v>16M, 64, FIFO</c:v>
                </c:pt>
                <c:pt idx="8">
                  <c:v>16M, 64, FIFOMOD</c:v>
                </c:pt>
                <c:pt idx="9">
                  <c:v>16M, 64, LRU</c:v>
                </c:pt>
              </c:strCache>
            </c:strRef>
          </c:cat>
          <c:val>
            <c:numRef>
              <c:f>Hoja1!$D$40:$D$49</c:f>
              <c:numCache>
                <c:formatCode>General</c:formatCode>
                <c:ptCount val="10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53-44A5-A1D6-2B184AE65B53}"/>
            </c:ext>
          </c:extLst>
        </c:ser>
        <c:ser>
          <c:idx val="2"/>
          <c:order val="2"/>
          <c:tx>
            <c:strRef>
              <c:f>Hoja1!$E$39</c:f>
              <c:strCache>
                <c:ptCount val="1"/>
                <c:pt idx="0">
                  <c:v>TASA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Hoja1!$B$40:$B$49</c:f>
              <c:strCache>
                <c:ptCount val="10"/>
                <c:pt idx="1">
                  <c:v>4M, 64, FIFO</c:v>
                </c:pt>
                <c:pt idx="2">
                  <c:v>4M, 64, FIFOMOD</c:v>
                </c:pt>
                <c:pt idx="3">
                  <c:v>4M, 64, LRU</c:v>
                </c:pt>
                <c:pt idx="4">
                  <c:v>8M, 64, FIFO</c:v>
                </c:pt>
                <c:pt idx="5">
                  <c:v>8M, 64, FIFOMOD</c:v>
                </c:pt>
                <c:pt idx="6">
                  <c:v>8M, 64, LRU</c:v>
                </c:pt>
                <c:pt idx="7">
                  <c:v>16M, 64, FIFO</c:v>
                </c:pt>
                <c:pt idx="8">
                  <c:v>16M, 64, FIFOMOD</c:v>
                </c:pt>
                <c:pt idx="9">
                  <c:v>16M, 64, LRU</c:v>
                </c:pt>
              </c:strCache>
            </c:strRef>
          </c:cat>
          <c:val>
            <c:numRef>
              <c:f>Hoja1!$E$40:$E$49</c:f>
              <c:numCache>
                <c:formatCode>General</c:formatCode>
                <c:ptCount val="10"/>
                <c:pt idx="1">
                  <c:v>1.0405827263267431E-3</c:v>
                </c:pt>
                <c:pt idx="2">
                  <c:v>1.0405827263267431E-3</c:v>
                </c:pt>
                <c:pt idx="3">
                  <c:v>1.0405827263267431E-3</c:v>
                </c:pt>
                <c:pt idx="4">
                  <c:v>1.0405827263267431E-3</c:v>
                </c:pt>
                <c:pt idx="5">
                  <c:v>1.0405827263267431E-3</c:v>
                </c:pt>
                <c:pt idx="6">
                  <c:v>1.0405827263267431E-3</c:v>
                </c:pt>
                <c:pt idx="7">
                  <c:v>1.0405827263267431E-3</c:v>
                </c:pt>
                <c:pt idx="8">
                  <c:v>1.0405827263267431E-3</c:v>
                </c:pt>
                <c:pt idx="9">
                  <c:v>1.0405827263267431E-3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53-44A5-A1D6-2B184AE65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37706480"/>
        <c:axId val="1316869904"/>
      </c:barChart>
      <c:catAx>
        <c:axId val="133770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69904"/>
        <c:crosses val="autoZero"/>
        <c:auto val="1"/>
        <c:lblAlgn val="ctr"/>
        <c:lblOffset val="100"/>
        <c:noMultiLvlLbl val="0"/>
      </c:catAx>
      <c:valAx>
        <c:axId val="131686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70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Caso</a:t>
            </a:r>
            <a:r>
              <a:rPr lang="en-US" baseline="0"/>
              <a:t> 8x8 (256)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Hoja1!$C$51</c:f>
              <c:strCache>
                <c:ptCount val="1"/>
                <c:pt idx="0">
                  <c:v>ACCESOS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Hoja1!$B$52:$B$60</c:f>
              <c:strCache>
                <c:ptCount val="9"/>
                <c:pt idx="0">
                  <c:v>4M, 256, FIFO</c:v>
                </c:pt>
                <c:pt idx="1">
                  <c:v>4M, 256, FIFOMOD</c:v>
                </c:pt>
                <c:pt idx="2">
                  <c:v>4M, 256, LRU</c:v>
                </c:pt>
                <c:pt idx="3">
                  <c:v>8M, 256, FIFO</c:v>
                </c:pt>
                <c:pt idx="4">
                  <c:v>8M, 256, FIFOMOD</c:v>
                </c:pt>
                <c:pt idx="5">
                  <c:v>8M, 256, LRU</c:v>
                </c:pt>
                <c:pt idx="6">
                  <c:v>16M, 256, FIFO</c:v>
                </c:pt>
                <c:pt idx="7">
                  <c:v>16M, 256, FIFOMOD</c:v>
                </c:pt>
                <c:pt idx="8">
                  <c:v>16M, 256, LRU</c:v>
                </c:pt>
              </c:strCache>
            </c:strRef>
          </c:cat>
          <c:val>
            <c:numRef>
              <c:f>Hoja1!$C$52:$C$60</c:f>
              <c:numCache>
                <c:formatCode>General</c:formatCode>
                <c:ptCount val="9"/>
                <c:pt idx="0">
                  <c:v>1921</c:v>
                </c:pt>
                <c:pt idx="1">
                  <c:v>1921</c:v>
                </c:pt>
                <c:pt idx="2">
                  <c:v>1921</c:v>
                </c:pt>
                <c:pt idx="3">
                  <c:v>1921</c:v>
                </c:pt>
                <c:pt idx="4">
                  <c:v>1921</c:v>
                </c:pt>
                <c:pt idx="5">
                  <c:v>1921</c:v>
                </c:pt>
                <c:pt idx="6">
                  <c:v>1921</c:v>
                </c:pt>
                <c:pt idx="7">
                  <c:v>1921</c:v>
                </c:pt>
                <c:pt idx="8">
                  <c:v>1921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24-BBEE-2CD41BDB8B65}"/>
            </c:ext>
          </c:extLst>
        </c:ser>
        <c:ser>
          <c:idx val="1"/>
          <c:order val="1"/>
          <c:tx>
            <c:strRef>
              <c:f>Hoja1!$D$51</c:f>
              <c:strCache>
                <c:ptCount val="1"/>
                <c:pt idx="0">
                  <c:v>FALLOS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Hoja1!$B$52:$B$60</c:f>
              <c:strCache>
                <c:ptCount val="9"/>
                <c:pt idx="0">
                  <c:v>4M, 256, FIFO</c:v>
                </c:pt>
                <c:pt idx="1">
                  <c:v>4M, 256, FIFOMOD</c:v>
                </c:pt>
                <c:pt idx="2">
                  <c:v>4M, 256, LRU</c:v>
                </c:pt>
                <c:pt idx="3">
                  <c:v>8M, 256, FIFO</c:v>
                </c:pt>
                <c:pt idx="4">
                  <c:v>8M, 256, FIFOMOD</c:v>
                </c:pt>
                <c:pt idx="5">
                  <c:v>8M, 256, LRU</c:v>
                </c:pt>
                <c:pt idx="6">
                  <c:v>16M, 256, FIFO</c:v>
                </c:pt>
                <c:pt idx="7">
                  <c:v>16M, 256, FIFOMOD</c:v>
                </c:pt>
                <c:pt idx="8">
                  <c:v>16M, 256, LRU</c:v>
                </c:pt>
              </c:strCache>
            </c:strRef>
          </c:cat>
          <c:val>
            <c:numRef>
              <c:f>Hoja1!$D$52:$D$60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24-BBEE-2CD41BDB8B65}"/>
            </c:ext>
          </c:extLst>
        </c:ser>
        <c:ser>
          <c:idx val="2"/>
          <c:order val="2"/>
          <c:tx>
            <c:strRef>
              <c:f>Hoja1!$E$51</c:f>
              <c:strCache>
                <c:ptCount val="1"/>
                <c:pt idx="0">
                  <c:v>TASA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Hoja1!$B$52:$B$60</c:f>
              <c:strCache>
                <c:ptCount val="9"/>
                <c:pt idx="0">
                  <c:v>4M, 256, FIFO</c:v>
                </c:pt>
                <c:pt idx="1">
                  <c:v>4M, 256, FIFOMOD</c:v>
                </c:pt>
                <c:pt idx="2">
                  <c:v>4M, 256, LRU</c:v>
                </c:pt>
                <c:pt idx="3">
                  <c:v>8M, 256, FIFO</c:v>
                </c:pt>
                <c:pt idx="4">
                  <c:v>8M, 256, FIFOMOD</c:v>
                </c:pt>
                <c:pt idx="5">
                  <c:v>8M, 256, LRU</c:v>
                </c:pt>
                <c:pt idx="6">
                  <c:v>16M, 256, FIFO</c:v>
                </c:pt>
                <c:pt idx="7">
                  <c:v>16M, 256, FIFOMOD</c:v>
                </c:pt>
                <c:pt idx="8">
                  <c:v>16M, 256, LRU</c:v>
                </c:pt>
              </c:strCache>
            </c:strRef>
          </c:cat>
          <c:val>
            <c:numRef>
              <c:f>Hoja1!$E$52:$E$60</c:f>
              <c:numCache>
                <c:formatCode>General</c:formatCode>
                <c:ptCount val="9"/>
                <c:pt idx="0">
                  <c:v>5.2056220718375845E-4</c:v>
                </c:pt>
                <c:pt idx="1">
                  <c:v>5.2056220718375845E-4</c:v>
                </c:pt>
                <c:pt idx="2">
                  <c:v>5.2056220718375845E-4</c:v>
                </c:pt>
                <c:pt idx="3">
                  <c:v>5.2056220718375845E-4</c:v>
                </c:pt>
                <c:pt idx="4">
                  <c:v>5.2056220718375845E-4</c:v>
                </c:pt>
                <c:pt idx="5">
                  <c:v>5.2056220718375845E-4</c:v>
                </c:pt>
                <c:pt idx="6">
                  <c:v>5.2056220718375845E-4</c:v>
                </c:pt>
                <c:pt idx="7">
                  <c:v>5.2056220718375845E-4</c:v>
                </c:pt>
                <c:pt idx="8">
                  <c:v>5.2056220718375845E-4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24-BBEE-2CD41BDB8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652352"/>
        <c:axId val="1316970224"/>
      </c:barChart>
      <c:catAx>
        <c:axId val="147165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970224"/>
        <c:crosses val="autoZero"/>
        <c:auto val="1"/>
        <c:lblAlgn val="ctr"/>
        <c:lblOffset val="100"/>
        <c:noMultiLvlLbl val="0"/>
      </c:catAx>
      <c:valAx>
        <c:axId val="131697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65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</a:t>
            </a:r>
            <a:r>
              <a:rPr lang="en-US" baseline="0"/>
              <a:t> 8X8 (1024)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Hoja1!$C$62</c:f>
              <c:strCache>
                <c:ptCount val="1"/>
                <c:pt idx="0">
                  <c:v>ACCESOS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Hoja1!$B$63:$B$71</c:f>
              <c:strCache>
                <c:ptCount val="9"/>
                <c:pt idx="0">
                  <c:v>4M, 1024, FIFO</c:v>
                </c:pt>
                <c:pt idx="1">
                  <c:v>4M, 1024, FIFOMOD</c:v>
                </c:pt>
                <c:pt idx="2">
                  <c:v>4M, 1024, LRU</c:v>
                </c:pt>
                <c:pt idx="3">
                  <c:v>8M, 1024, FIFO</c:v>
                </c:pt>
                <c:pt idx="4">
                  <c:v>8M, 1024, FIFOMOD</c:v>
                </c:pt>
                <c:pt idx="5">
                  <c:v>8M, 1024, LRU</c:v>
                </c:pt>
                <c:pt idx="6">
                  <c:v>16M, 1024, FIFO</c:v>
                </c:pt>
                <c:pt idx="7">
                  <c:v>16M, 1024, FIFOMOD</c:v>
                </c:pt>
                <c:pt idx="8">
                  <c:v>16M, 1024, LRU</c:v>
                </c:pt>
              </c:strCache>
            </c:strRef>
          </c:cat>
          <c:val>
            <c:numRef>
              <c:f>Hoja1!$C$63:$C$71</c:f>
              <c:numCache>
                <c:formatCode>General</c:formatCode>
                <c:ptCount val="9"/>
                <c:pt idx="0">
                  <c:v>1921</c:v>
                </c:pt>
                <c:pt idx="1">
                  <c:v>1921</c:v>
                </c:pt>
                <c:pt idx="2">
                  <c:v>1921</c:v>
                </c:pt>
                <c:pt idx="3">
                  <c:v>1921</c:v>
                </c:pt>
                <c:pt idx="4">
                  <c:v>1921</c:v>
                </c:pt>
                <c:pt idx="5">
                  <c:v>1921</c:v>
                </c:pt>
                <c:pt idx="6">
                  <c:v>1921</c:v>
                </c:pt>
                <c:pt idx="7">
                  <c:v>1921</c:v>
                </c:pt>
                <c:pt idx="8">
                  <c:v>1921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7-4013-A476-48C52C1C3B06}"/>
            </c:ext>
          </c:extLst>
        </c:ser>
        <c:ser>
          <c:idx val="1"/>
          <c:order val="1"/>
          <c:tx>
            <c:strRef>
              <c:f>Hoja1!$D$62</c:f>
              <c:strCache>
                <c:ptCount val="1"/>
                <c:pt idx="0">
                  <c:v>FALLOS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Hoja1!$B$63:$B$71</c:f>
              <c:strCache>
                <c:ptCount val="9"/>
                <c:pt idx="0">
                  <c:v>4M, 1024, FIFO</c:v>
                </c:pt>
                <c:pt idx="1">
                  <c:v>4M, 1024, FIFOMOD</c:v>
                </c:pt>
                <c:pt idx="2">
                  <c:v>4M, 1024, LRU</c:v>
                </c:pt>
                <c:pt idx="3">
                  <c:v>8M, 1024, FIFO</c:v>
                </c:pt>
                <c:pt idx="4">
                  <c:v>8M, 1024, FIFOMOD</c:v>
                </c:pt>
                <c:pt idx="5">
                  <c:v>8M, 1024, LRU</c:v>
                </c:pt>
                <c:pt idx="6">
                  <c:v>16M, 1024, FIFO</c:v>
                </c:pt>
                <c:pt idx="7">
                  <c:v>16M, 1024, FIFOMOD</c:v>
                </c:pt>
                <c:pt idx="8">
                  <c:v>16M, 1024, LRU</c:v>
                </c:pt>
              </c:strCache>
            </c:strRef>
          </c:cat>
          <c:val>
            <c:numRef>
              <c:f>Hoja1!$D$63:$D$71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7-4013-A476-48C52C1C3B06}"/>
            </c:ext>
          </c:extLst>
        </c:ser>
        <c:ser>
          <c:idx val="2"/>
          <c:order val="2"/>
          <c:tx>
            <c:strRef>
              <c:f>Hoja1!$E$62</c:f>
              <c:strCache>
                <c:ptCount val="1"/>
                <c:pt idx="0">
                  <c:v>TASA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Hoja1!$B$63:$B$71</c:f>
              <c:strCache>
                <c:ptCount val="9"/>
                <c:pt idx="0">
                  <c:v>4M, 1024, FIFO</c:v>
                </c:pt>
                <c:pt idx="1">
                  <c:v>4M, 1024, FIFOMOD</c:v>
                </c:pt>
                <c:pt idx="2">
                  <c:v>4M, 1024, LRU</c:v>
                </c:pt>
                <c:pt idx="3">
                  <c:v>8M, 1024, FIFO</c:v>
                </c:pt>
                <c:pt idx="4">
                  <c:v>8M, 1024, FIFOMOD</c:v>
                </c:pt>
                <c:pt idx="5">
                  <c:v>8M, 1024, LRU</c:v>
                </c:pt>
                <c:pt idx="6">
                  <c:v>16M, 1024, FIFO</c:v>
                </c:pt>
                <c:pt idx="7">
                  <c:v>16M, 1024, FIFOMOD</c:v>
                </c:pt>
                <c:pt idx="8">
                  <c:v>16M, 1024, LRU</c:v>
                </c:pt>
              </c:strCache>
            </c:strRef>
          </c:cat>
          <c:val>
            <c:numRef>
              <c:f>Hoja1!$E$63:$E$71</c:f>
              <c:numCache>
                <c:formatCode>General</c:formatCode>
                <c:ptCount val="9"/>
                <c:pt idx="0">
                  <c:v>5.2056220718375845E-4</c:v>
                </c:pt>
                <c:pt idx="1">
                  <c:v>5.2056220718375845E-4</c:v>
                </c:pt>
                <c:pt idx="2">
                  <c:v>5.2056220718375845E-4</c:v>
                </c:pt>
                <c:pt idx="3">
                  <c:v>5.2056220718375845E-4</c:v>
                </c:pt>
                <c:pt idx="4">
                  <c:v>5.2056220718375845E-4</c:v>
                </c:pt>
                <c:pt idx="5">
                  <c:v>5.2056220718375845E-4</c:v>
                </c:pt>
                <c:pt idx="6">
                  <c:v>5.2056220718375845E-4</c:v>
                </c:pt>
                <c:pt idx="7">
                  <c:v>5.2056220718375845E-4</c:v>
                </c:pt>
                <c:pt idx="8">
                  <c:v>5.2056220718375845E-4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7-4013-A476-48C52C1C3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108720"/>
        <c:axId val="1316939024"/>
      </c:barChart>
      <c:catAx>
        <c:axId val="151010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939024"/>
        <c:crosses val="autoZero"/>
        <c:auto val="1"/>
        <c:lblAlgn val="ctr"/>
        <c:lblOffset val="100"/>
        <c:noMultiLvlLbl val="0"/>
      </c:catAx>
      <c:valAx>
        <c:axId val="13169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0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</a:t>
            </a:r>
            <a:r>
              <a:rPr lang="en-US" baseline="0"/>
              <a:t> 16X16 (64)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Hoja1!$I$39</c:f>
              <c:strCache>
                <c:ptCount val="1"/>
                <c:pt idx="0">
                  <c:v>ACCESOS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Hoja1!$H$40:$H$49</c:f>
              <c:strCache>
                <c:ptCount val="10"/>
                <c:pt idx="1">
                  <c:v>4M, 64, FIFO</c:v>
                </c:pt>
                <c:pt idx="2">
                  <c:v>4M, 64, FIFOMOD</c:v>
                </c:pt>
                <c:pt idx="3">
                  <c:v>4M, 64, LRU</c:v>
                </c:pt>
                <c:pt idx="4">
                  <c:v>8M, 64, FIFO</c:v>
                </c:pt>
                <c:pt idx="5">
                  <c:v>8M, 64, FIFOMOD</c:v>
                </c:pt>
                <c:pt idx="6">
                  <c:v>8M, 64, LRU</c:v>
                </c:pt>
                <c:pt idx="7">
                  <c:v>16M, 64, FIFO</c:v>
                </c:pt>
                <c:pt idx="8">
                  <c:v>16M, 64, FIFOMOD</c:v>
                </c:pt>
                <c:pt idx="9">
                  <c:v>16M, 64, LRU</c:v>
                </c:pt>
              </c:strCache>
            </c:strRef>
          </c:cat>
          <c:val>
            <c:numRef>
              <c:f>Hoja1!$I$40:$I$49</c:f>
              <c:numCache>
                <c:formatCode>General</c:formatCode>
                <c:ptCount val="10"/>
                <c:pt idx="1">
                  <c:v>8105</c:v>
                </c:pt>
                <c:pt idx="2">
                  <c:v>8021</c:v>
                </c:pt>
                <c:pt idx="3">
                  <c:v>8021</c:v>
                </c:pt>
                <c:pt idx="4">
                  <c:v>7685</c:v>
                </c:pt>
                <c:pt idx="5">
                  <c:v>7685</c:v>
                </c:pt>
                <c:pt idx="6">
                  <c:v>7685</c:v>
                </c:pt>
                <c:pt idx="7">
                  <c:v>7685</c:v>
                </c:pt>
                <c:pt idx="8">
                  <c:v>7685</c:v>
                </c:pt>
                <c:pt idx="9">
                  <c:v>7685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1-4421-8054-76659920A1F5}"/>
            </c:ext>
          </c:extLst>
        </c:ser>
        <c:ser>
          <c:idx val="1"/>
          <c:order val="1"/>
          <c:tx>
            <c:strRef>
              <c:f>Hoja1!$J$39</c:f>
              <c:strCache>
                <c:ptCount val="1"/>
                <c:pt idx="0">
                  <c:v>FALLOS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Hoja1!$H$40:$H$49</c:f>
              <c:strCache>
                <c:ptCount val="10"/>
                <c:pt idx="1">
                  <c:v>4M, 64, FIFO</c:v>
                </c:pt>
                <c:pt idx="2">
                  <c:v>4M, 64, FIFOMOD</c:v>
                </c:pt>
                <c:pt idx="3">
                  <c:v>4M, 64, LRU</c:v>
                </c:pt>
                <c:pt idx="4">
                  <c:v>8M, 64, FIFO</c:v>
                </c:pt>
                <c:pt idx="5">
                  <c:v>8M, 64, FIFOMOD</c:v>
                </c:pt>
                <c:pt idx="6">
                  <c:v>8M, 64, LRU</c:v>
                </c:pt>
                <c:pt idx="7">
                  <c:v>16M, 64, FIFO</c:v>
                </c:pt>
                <c:pt idx="8">
                  <c:v>16M, 64, FIFOMOD</c:v>
                </c:pt>
                <c:pt idx="9">
                  <c:v>16M, 64, LRU</c:v>
                </c:pt>
              </c:strCache>
            </c:strRef>
          </c:cat>
          <c:val>
            <c:numRef>
              <c:f>Hoja1!$J$40:$J$49</c:f>
              <c:numCache>
                <c:formatCode>General</c:formatCode>
                <c:ptCount val="10"/>
                <c:pt idx="1">
                  <c:v>425</c:v>
                </c:pt>
                <c:pt idx="2">
                  <c:v>341</c:v>
                </c:pt>
                <c:pt idx="3">
                  <c:v>341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B1-4421-8054-76659920A1F5}"/>
            </c:ext>
          </c:extLst>
        </c:ser>
        <c:ser>
          <c:idx val="2"/>
          <c:order val="2"/>
          <c:tx>
            <c:strRef>
              <c:f>Hoja1!$K$39</c:f>
              <c:strCache>
                <c:ptCount val="1"/>
                <c:pt idx="0">
                  <c:v>TASA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Hoja1!$H$40:$H$49</c:f>
              <c:strCache>
                <c:ptCount val="10"/>
                <c:pt idx="1">
                  <c:v>4M, 64, FIFO</c:v>
                </c:pt>
                <c:pt idx="2">
                  <c:v>4M, 64, FIFOMOD</c:v>
                </c:pt>
                <c:pt idx="3">
                  <c:v>4M, 64, LRU</c:v>
                </c:pt>
                <c:pt idx="4">
                  <c:v>8M, 64, FIFO</c:v>
                </c:pt>
                <c:pt idx="5">
                  <c:v>8M, 64, FIFOMOD</c:v>
                </c:pt>
                <c:pt idx="6">
                  <c:v>8M, 64, LRU</c:v>
                </c:pt>
                <c:pt idx="7">
                  <c:v>16M, 64, FIFO</c:v>
                </c:pt>
                <c:pt idx="8">
                  <c:v>16M, 64, FIFOMOD</c:v>
                </c:pt>
                <c:pt idx="9">
                  <c:v>16M, 64, LRU</c:v>
                </c:pt>
              </c:strCache>
            </c:strRef>
          </c:cat>
          <c:val>
            <c:numRef>
              <c:f>Hoja1!$K$40:$K$49</c:f>
              <c:numCache>
                <c:formatCode>General</c:formatCode>
                <c:ptCount val="10"/>
                <c:pt idx="1">
                  <c:v>5.2436767427513881E-2</c:v>
                </c:pt>
                <c:pt idx="2">
                  <c:v>4.2513402318912853E-2</c:v>
                </c:pt>
                <c:pt idx="3">
                  <c:v>4.2513402318912853E-2</c:v>
                </c:pt>
                <c:pt idx="4">
                  <c:v>6.5061808718282373E-4</c:v>
                </c:pt>
                <c:pt idx="5">
                  <c:v>6.5061808718282373E-4</c:v>
                </c:pt>
                <c:pt idx="6">
                  <c:v>6.5061808718282373E-4</c:v>
                </c:pt>
                <c:pt idx="7">
                  <c:v>6.5061808718282373E-4</c:v>
                </c:pt>
                <c:pt idx="8">
                  <c:v>6.5061808718282373E-4</c:v>
                </c:pt>
                <c:pt idx="9">
                  <c:v>6.5061808718282373E-4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B1-4421-8054-76659920A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703232"/>
        <c:axId val="1316917904"/>
      </c:barChart>
      <c:catAx>
        <c:axId val="133770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917904"/>
        <c:crosses val="autoZero"/>
        <c:auto val="1"/>
        <c:lblAlgn val="ctr"/>
        <c:lblOffset val="100"/>
        <c:noMultiLvlLbl val="0"/>
      </c:catAx>
      <c:valAx>
        <c:axId val="13169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70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</a:t>
            </a:r>
            <a:r>
              <a:rPr lang="en-US" baseline="0"/>
              <a:t> 16X16 (256)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Hoja1!$I$51</c:f>
              <c:strCache>
                <c:ptCount val="1"/>
                <c:pt idx="0">
                  <c:v>ACCESOS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Hoja1!$H$52:$H$60</c:f>
              <c:strCache>
                <c:ptCount val="9"/>
                <c:pt idx="0">
                  <c:v>4M, 256, FIFO</c:v>
                </c:pt>
                <c:pt idx="1">
                  <c:v>4M, 256, FIFOMOD</c:v>
                </c:pt>
                <c:pt idx="2">
                  <c:v>4M, 256, LRU</c:v>
                </c:pt>
                <c:pt idx="3">
                  <c:v>8M, 256, FIFO</c:v>
                </c:pt>
                <c:pt idx="4">
                  <c:v>8M, 256, FIFOMOD</c:v>
                </c:pt>
                <c:pt idx="5">
                  <c:v>8M, 256, LRU</c:v>
                </c:pt>
                <c:pt idx="6">
                  <c:v>16M, 256, FIFO</c:v>
                </c:pt>
                <c:pt idx="7">
                  <c:v>16M, 256, FIFOMOD</c:v>
                </c:pt>
                <c:pt idx="8">
                  <c:v>16M, 256, LRU</c:v>
                </c:pt>
              </c:strCache>
            </c:strRef>
          </c:cat>
          <c:val>
            <c:numRef>
              <c:f>Hoja1!$I$52:$I$60</c:f>
              <c:numCache>
                <c:formatCode>General</c:formatCode>
                <c:ptCount val="9"/>
                <c:pt idx="0">
                  <c:v>7682</c:v>
                </c:pt>
                <c:pt idx="1">
                  <c:v>7682</c:v>
                </c:pt>
                <c:pt idx="2">
                  <c:v>7682</c:v>
                </c:pt>
                <c:pt idx="3">
                  <c:v>7682</c:v>
                </c:pt>
                <c:pt idx="4">
                  <c:v>7682</c:v>
                </c:pt>
                <c:pt idx="5">
                  <c:v>7682</c:v>
                </c:pt>
                <c:pt idx="6">
                  <c:v>7682</c:v>
                </c:pt>
                <c:pt idx="7">
                  <c:v>7682</c:v>
                </c:pt>
                <c:pt idx="8">
                  <c:v>7682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5-4252-93E6-3ABE666014DD}"/>
            </c:ext>
          </c:extLst>
        </c:ser>
        <c:ser>
          <c:idx val="1"/>
          <c:order val="1"/>
          <c:tx>
            <c:strRef>
              <c:f>Hoja1!$J$51</c:f>
              <c:strCache>
                <c:ptCount val="1"/>
                <c:pt idx="0">
                  <c:v>FALLOS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Hoja1!$H$52:$H$60</c:f>
              <c:strCache>
                <c:ptCount val="9"/>
                <c:pt idx="0">
                  <c:v>4M, 256, FIFO</c:v>
                </c:pt>
                <c:pt idx="1">
                  <c:v>4M, 256, FIFOMOD</c:v>
                </c:pt>
                <c:pt idx="2">
                  <c:v>4M, 256, LRU</c:v>
                </c:pt>
                <c:pt idx="3">
                  <c:v>8M, 256, FIFO</c:v>
                </c:pt>
                <c:pt idx="4">
                  <c:v>8M, 256, FIFOMOD</c:v>
                </c:pt>
                <c:pt idx="5">
                  <c:v>8M, 256, LRU</c:v>
                </c:pt>
                <c:pt idx="6">
                  <c:v>16M, 256, FIFO</c:v>
                </c:pt>
                <c:pt idx="7">
                  <c:v>16M, 256, FIFOMOD</c:v>
                </c:pt>
                <c:pt idx="8">
                  <c:v>16M, 256, LRU</c:v>
                </c:pt>
              </c:strCache>
            </c:strRef>
          </c:cat>
          <c:val>
            <c:numRef>
              <c:f>Hoja1!$J$52:$J$60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D5-4252-93E6-3ABE666014DD}"/>
            </c:ext>
          </c:extLst>
        </c:ser>
        <c:ser>
          <c:idx val="2"/>
          <c:order val="2"/>
          <c:tx>
            <c:strRef>
              <c:f>Hoja1!$K$51</c:f>
              <c:strCache>
                <c:ptCount val="1"/>
                <c:pt idx="0">
                  <c:v>TASA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Hoja1!$H$52:$H$60</c:f>
              <c:strCache>
                <c:ptCount val="9"/>
                <c:pt idx="0">
                  <c:v>4M, 256, FIFO</c:v>
                </c:pt>
                <c:pt idx="1">
                  <c:v>4M, 256, FIFOMOD</c:v>
                </c:pt>
                <c:pt idx="2">
                  <c:v>4M, 256, LRU</c:v>
                </c:pt>
                <c:pt idx="3">
                  <c:v>8M, 256, FIFO</c:v>
                </c:pt>
                <c:pt idx="4">
                  <c:v>8M, 256, FIFOMOD</c:v>
                </c:pt>
                <c:pt idx="5">
                  <c:v>8M, 256, LRU</c:v>
                </c:pt>
                <c:pt idx="6">
                  <c:v>16M, 256, FIFO</c:v>
                </c:pt>
                <c:pt idx="7">
                  <c:v>16M, 256, FIFOMOD</c:v>
                </c:pt>
                <c:pt idx="8">
                  <c:v>16M, 256, LRU</c:v>
                </c:pt>
              </c:strCache>
            </c:strRef>
          </c:cat>
          <c:val>
            <c:numRef>
              <c:f>Hoja1!$K$52:$K$60</c:f>
              <c:numCache>
                <c:formatCode>General</c:formatCode>
                <c:ptCount val="9"/>
                <c:pt idx="0">
                  <c:v>2.6034886748242648E-4</c:v>
                </c:pt>
                <c:pt idx="1">
                  <c:v>2.6034886748242648E-4</c:v>
                </c:pt>
                <c:pt idx="2">
                  <c:v>2.6034886748242648E-4</c:v>
                </c:pt>
                <c:pt idx="3">
                  <c:v>2.6034886748242648E-4</c:v>
                </c:pt>
                <c:pt idx="4">
                  <c:v>2.6034886748242648E-4</c:v>
                </c:pt>
                <c:pt idx="5">
                  <c:v>2.6034886748242648E-4</c:v>
                </c:pt>
                <c:pt idx="6">
                  <c:v>2.6034886748242648E-4</c:v>
                </c:pt>
                <c:pt idx="7">
                  <c:v>2.6034886748242648E-4</c:v>
                </c:pt>
                <c:pt idx="8">
                  <c:v>2.6034886748242648E-4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D5-4252-93E6-3ABE66601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015072"/>
        <c:axId val="1316965424"/>
      </c:barChart>
      <c:catAx>
        <c:axId val="146901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965424"/>
        <c:crosses val="autoZero"/>
        <c:auto val="1"/>
        <c:lblAlgn val="ctr"/>
        <c:lblOffset val="100"/>
        <c:noMultiLvlLbl val="0"/>
      </c:catAx>
      <c:valAx>
        <c:axId val="13169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1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 16X16 (1024)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Hoja1!$I$62</c:f>
              <c:strCache>
                <c:ptCount val="1"/>
                <c:pt idx="0">
                  <c:v>ACCESOS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Hoja1!$H$63:$H$71</c:f>
              <c:strCache>
                <c:ptCount val="9"/>
                <c:pt idx="0">
                  <c:v>4M, 1024, FIFO</c:v>
                </c:pt>
                <c:pt idx="1">
                  <c:v>4M, 1024, FIFOMOD</c:v>
                </c:pt>
                <c:pt idx="2">
                  <c:v>4M, 1024, LRU</c:v>
                </c:pt>
                <c:pt idx="3">
                  <c:v>8M, 1024, FIFO</c:v>
                </c:pt>
                <c:pt idx="4">
                  <c:v>8M, 1024, FIFOMOD</c:v>
                </c:pt>
                <c:pt idx="5">
                  <c:v>8M, 1024, LRU</c:v>
                </c:pt>
                <c:pt idx="6">
                  <c:v>16M, 1024, FIFO</c:v>
                </c:pt>
                <c:pt idx="7">
                  <c:v>16M, 1024, FIFOMOD</c:v>
                </c:pt>
                <c:pt idx="8">
                  <c:v>16M, 1024, LRU</c:v>
                </c:pt>
              </c:strCache>
            </c:strRef>
          </c:cat>
          <c:val>
            <c:numRef>
              <c:f>Hoja1!$I$63:$I$71</c:f>
              <c:numCache>
                <c:formatCode>General</c:formatCode>
                <c:ptCount val="9"/>
                <c:pt idx="0">
                  <c:v>7681</c:v>
                </c:pt>
                <c:pt idx="1">
                  <c:v>7681</c:v>
                </c:pt>
                <c:pt idx="2">
                  <c:v>7681</c:v>
                </c:pt>
                <c:pt idx="3">
                  <c:v>7681</c:v>
                </c:pt>
                <c:pt idx="4">
                  <c:v>7681</c:v>
                </c:pt>
                <c:pt idx="5">
                  <c:v>7681</c:v>
                </c:pt>
                <c:pt idx="6">
                  <c:v>7681</c:v>
                </c:pt>
                <c:pt idx="7">
                  <c:v>7681</c:v>
                </c:pt>
                <c:pt idx="8">
                  <c:v>7681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F-4E25-BD9E-CDCC4FB86AB4}"/>
            </c:ext>
          </c:extLst>
        </c:ser>
        <c:ser>
          <c:idx val="1"/>
          <c:order val="1"/>
          <c:tx>
            <c:strRef>
              <c:f>Hoja1!$J$62</c:f>
              <c:strCache>
                <c:ptCount val="1"/>
                <c:pt idx="0">
                  <c:v>FALLOS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Hoja1!$H$63:$H$71</c:f>
              <c:strCache>
                <c:ptCount val="9"/>
                <c:pt idx="0">
                  <c:v>4M, 1024, FIFO</c:v>
                </c:pt>
                <c:pt idx="1">
                  <c:v>4M, 1024, FIFOMOD</c:v>
                </c:pt>
                <c:pt idx="2">
                  <c:v>4M, 1024, LRU</c:v>
                </c:pt>
                <c:pt idx="3">
                  <c:v>8M, 1024, FIFO</c:v>
                </c:pt>
                <c:pt idx="4">
                  <c:v>8M, 1024, FIFOMOD</c:v>
                </c:pt>
                <c:pt idx="5">
                  <c:v>8M, 1024, LRU</c:v>
                </c:pt>
                <c:pt idx="6">
                  <c:v>16M, 1024, FIFO</c:v>
                </c:pt>
                <c:pt idx="7">
                  <c:v>16M, 1024, FIFOMOD</c:v>
                </c:pt>
                <c:pt idx="8">
                  <c:v>16M, 1024, LRU</c:v>
                </c:pt>
              </c:strCache>
            </c:strRef>
          </c:cat>
          <c:val>
            <c:numRef>
              <c:f>Hoja1!$J$63:$J$71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6F-4E25-BD9E-CDCC4FB86AB4}"/>
            </c:ext>
          </c:extLst>
        </c:ser>
        <c:ser>
          <c:idx val="2"/>
          <c:order val="2"/>
          <c:tx>
            <c:strRef>
              <c:f>Hoja1!$K$62</c:f>
              <c:strCache>
                <c:ptCount val="1"/>
                <c:pt idx="0">
                  <c:v>TASA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Hoja1!$H$63:$H$71</c:f>
              <c:strCache>
                <c:ptCount val="9"/>
                <c:pt idx="0">
                  <c:v>4M, 1024, FIFO</c:v>
                </c:pt>
                <c:pt idx="1">
                  <c:v>4M, 1024, FIFOMOD</c:v>
                </c:pt>
                <c:pt idx="2">
                  <c:v>4M, 1024, LRU</c:v>
                </c:pt>
                <c:pt idx="3">
                  <c:v>8M, 1024, FIFO</c:v>
                </c:pt>
                <c:pt idx="4">
                  <c:v>8M, 1024, FIFOMOD</c:v>
                </c:pt>
                <c:pt idx="5">
                  <c:v>8M, 1024, LRU</c:v>
                </c:pt>
                <c:pt idx="6">
                  <c:v>16M, 1024, FIFO</c:v>
                </c:pt>
                <c:pt idx="7">
                  <c:v>16M, 1024, FIFOMOD</c:v>
                </c:pt>
                <c:pt idx="8">
                  <c:v>16M, 1024, LRU</c:v>
                </c:pt>
              </c:strCache>
            </c:strRef>
          </c:cat>
          <c:val>
            <c:numRef>
              <c:f>Hoja1!$K$63:$K$71</c:f>
              <c:numCache>
                <c:formatCode>General</c:formatCode>
                <c:ptCount val="9"/>
                <c:pt idx="0">
                  <c:v>1.3019138133055591E-4</c:v>
                </c:pt>
                <c:pt idx="1">
                  <c:v>1.3019138133055591E-4</c:v>
                </c:pt>
                <c:pt idx="2">
                  <c:v>1.3019138133055591E-4</c:v>
                </c:pt>
                <c:pt idx="3">
                  <c:v>1.3019138133055591E-4</c:v>
                </c:pt>
                <c:pt idx="4">
                  <c:v>1.3019138133055591E-4</c:v>
                </c:pt>
                <c:pt idx="5">
                  <c:v>1.3019138133055591E-4</c:v>
                </c:pt>
                <c:pt idx="6">
                  <c:v>1.3019138133055591E-4</c:v>
                </c:pt>
                <c:pt idx="7">
                  <c:v>1.3019138133055591E-4</c:v>
                </c:pt>
                <c:pt idx="8">
                  <c:v>1.3019138133055591E-4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6F-4E25-BD9E-CDCC4FB86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1297712"/>
        <c:axId val="1316929424"/>
      </c:barChart>
      <c:catAx>
        <c:axId val="151129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929424"/>
        <c:crosses val="autoZero"/>
        <c:auto val="1"/>
        <c:lblAlgn val="ctr"/>
        <c:lblOffset val="100"/>
        <c:noMultiLvlLbl val="0"/>
      </c:catAx>
      <c:valAx>
        <c:axId val="131692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29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 128X128 (64)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Hoja1!$O$39</c:f>
              <c:strCache>
                <c:ptCount val="1"/>
                <c:pt idx="0">
                  <c:v>ACCESOS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Hoja1!$N$40:$N$49</c:f>
              <c:strCache>
                <c:ptCount val="10"/>
                <c:pt idx="1">
                  <c:v>4M, 64, FIFO</c:v>
                </c:pt>
                <c:pt idx="2">
                  <c:v>4M, 64, FIFOMOD</c:v>
                </c:pt>
                <c:pt idx="3">
                  <c:v>4M, 64, LRU</c:v>
                </c:pt>
                <c:pt idx="4">
                  <c:v>8M, 64, FIFO</c:v>
                </c:pt>
                <c:pt idx="5">
                  <c:v>8M, 64, FIFOMOD</c:v>
                </c:pt>
                <c:pt idx="6">
                  <c:v>8M, 64, LRU</c:v>
                </c:pt>
                <c:pt idx="7">
                  <c:v>16M, 64, FIFO</c:v>
                </c:pt>
                <c:pt idx="8">
                  <c:v>16M, 64, FIFOMOD</c:v>
                </c:pt>
                <c:pt idx="9">
                  <c:v>16M, 64, LRU</c:v>
                </c:pt>
              </c:strCache>
            </c:strRef>
          </c:cat>
          <c:val>
            <c:numRef>
              <c:f>Hoja1!$O$40:$O$49</c:f>
              <c:numCache>
                <c:formatCode>General</c:formatCode>
                <c:ptCount val="10"/>
                <c:pt idx="1">
                  <c:v>595840</c:v>
                </c:pt>
                <c:pt idx="2">
                  <c:v>577280</c:v>
                </c:pt>
                <c:pt idx="3">
                  <c:v>577280</c:v>
                </c:pt>
                <c:pt idx="4">
                  <c:v>585280</c:v>
                </c:pt>
                <c:pt idx="5">
                  <c:v>576001</c:v>
                </c:pt>
                <c:pt idx="6">
                  <c:v>576001</c:v>
                </c:pt>
                <c:pt idx="7">
                  <c:v>580000</c:v>
                </c:pt>
                <c:pt idx="8">
                  <c:v>576001</c:v>
                </c:pt>
                <c:pt idx="9">
                  <c:v>576001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4-48DC-B009-763EEBCEB652}"/>
            </c:ext>
          </c:extLst>
        </c:ser>
        <c:ser>
          <c:idx val="1"/>
          <c:order val="1"/>
          <c:tx>
            <c:strRef>
              <c:f>Hoja1!$P$39</c:f>
              <c:strCache>
                <c:ptCount val="1"/>
                <c:pt idx="0">
                  <c:v>FALLOS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Hoja1!$N$40:$N$49</c:f>
              <c:strCache>
                <c:ptCount val="10"/>
                <c:pt idx="1">
                  <c:v>4M, 64, FIFO</c:v>
                </c:pt>
                <c:pt idx="2">
                  <c:v>4M, 64, FIFOMOD</c:v>
                </c:pt>
                <c:pt idx="3">
                  <c:v>4M, 64, LRU</c:v>
                </c:pt>
                <c:pt idx="4">
                  <c:v>8M, 64, FIFO</c:v>
                </c:pt>
                <c:pt idx="5">
                  <c:v>8M, 64, FIFOMOD</c:v>
                </c:pt>
                <c:pt idx="6">
                  <c:v>8M, 64, LRU</c:v>
                </c:pt>
                <c:pt idx="7">
                  <c:v>16M, 64, FIFO</c:v>
                </c:pt>
                <c:pt idx="8">
                  <c:v>16M, 64, FIFOMOD</c:v>
                </c:pt>
                <c:pt idx="9">
                  <c:v>16M, 64, LRU</c:v>
                </c:pt>
              </c:strCache>
            </c:strRef>
          </c:cat>
          <c:val>
            <c:numRef>
              <c:f>Hoja1!$P$40:$P$49</c:f>
              <c:numCache>
                <c:formatCode>General</c:formatCode>
                <c:ptCount val="10"/>
                <c:pt idx="1">
                  <c:v>104320</c:v>
                </c:pt>
                <c:pt idx="2">
                  <c:v>85760</c:v>
                </c:pt>
                <c:pt idx="3">
                  <c:v>85760</c:v>
                </c:pt>
                <c:pt idx="4">
                  <c:v>93760</c:v>
                </c:pt>
                <c:pt idx="5">
                  <c:v>84481</c:v>
                </c:pt>
                <c:pt idx="6">
                  <c:v>84481</c:v>
                </c:pt>
                <c:pt idx="7">
                  <c:v>88480</c:v>
                </c:pt>
                <c:pt idx="8">
                  <c:v>84481</c:v>
                </c:pt>
                <c:pt idx="9">
                  <c:v>84481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4-48DC-B009-763EEBCEB652}"/>
            </c:ext>
          </c:extLst>
        </c:ser>
        <c:ser>
          <c:idx val="2"/>
          <c:order val="2"/>
          <c:tx>
            <c:strRef>
              <c:f>Hoja1!$Q$39</c:f>
              <c:strCache>
                <c:ptCount val="1"/>
                <c:pt idx="0">
                  <c:v>TASA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Hoja1!$N$40:$N$49</c:f>
              <c:strCache>
                <c:ptCount val="10"/>
                <c:pt idx="1">
                  <c:v>4M, 64, FIFO</c:v>
                </c:pt>
                <c:pt idx="2">
                  <c:v>4M, 64, FIFOMOD</c:v>
                </c:pt>
                <c:pt idx="3">
                  <c:v>4M, 64, LRU</c:v>
                </c:pt>
                <c:pt idx="4">
                  <c:v>8M, 64, FIFO</c:v>
                </c:pt>
                <c:pt idx="5">
                  <c:v>8M, 64, FIFOMOD</c:v>
                </c:pt>
                <c:pt idx="6">
                  <c:v>8M, 64, LRU</c:v>
                </c:pt>
                <c:pt idx="7">
                  <c:v>16M, 64, FIFO</c:v>
                </c:pt>
                <c:pt idx="8">
                  <c:v>16M, 64, FIFOMOD</c:v>
                </c:pt>
                <c:pt idx="9">
                  <c:v>16M, 64, LRU</c:v>
                </c:pt>
              </c:strCache>
            </c:strRef>
          </c:cat>
          <c:val>
            <c:numRef>
              <c:f>Hoja1!$Q$40:$Q$49</c:f>
              <c:numCache>
                <c:formatCode>General</c:formatCode>
                <c:ptCount val="10"/>
                <c:pt idx="1">
                  <c:v>0.17508055853920515</c:v>
                </c:pt>
                <c:pt idx="2">
                  <c:v>0.14855875831485588</c:v>
                </c:pt>
                <c:pt idx="3">
                  <c:v>0.14855875831485588</c:v>
                </c:pt>
                <c:pt idx="4">
                  <c:v>0.160196828868234</c:v>
                </c:pt>
                <c:pt idx="5">
                  <c:v>0.14666814814557613</c:v>
                </c:pt>
                <c:pt idx="6">
                  <c:v>0.14666814814557613</c:v>
                </c:pt>
                <c:pt idx="7">
                  <c:v>0.15255172413793103</c:v>
                </c:pt>
                <c:pt idx="8">
                  <c:v>0.14666814814557613</c:v>
                </c:pt>
                <c:pt idx="9">
                  <c:v>0.14666814814557613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64-48DC-B009-763EEBCEB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012288"/>
        <c:axId val="1316855984"/>
      </c:barChart>
      <c:catAx>
        <c:axId val="146901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55984"/>
        <c:crosses val="autoZero"/>
        <c:auto val="1"/>
        <c:lblAlgn val="ctr"/>
        <c:lblOffset val="100"/>
        <c:noMultiLvlLbl val="0"/>
      </c:catAx>
      <c:valAx>
        <c:axId val="131685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1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</a:t>
            </a:r>
            <a:r>
              <a:rPr lang="en-US" baseline="0"/>
              <a:t>O 128X128 (256)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Hoja1!$O$51</c:f>
              <c:strCache>
                <c:ptCount val="1"/>
                <c:pt idx="0">
                  <c:v>ACCESOS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Hoja1!$N$52:$N$60</c:f>
              <c:strCache>
                <c:ptCount val="9"/>
                <c:pt idx="0">
                  <c:v>4M, 256, FIFO</c:v>
                </c:pt>
                <c:pt idx="1">
                  <c:v>4M, 256, FIFOMOD</c:v>
                </c:pt>
                <c:pt idx="2">
                  <c:v>4M, 256, LRU</c:v>
                </c:pt>
                <c:pt idx="3">
                  <c:v>8M, 256, FIFO</c:v>
                </c:pt>
                <c:pt idx="4">
                  <c:v>8M, 256, FIFOMOD</c:v>
                </c:pt>
                <c:pt idx="5">
                  <c:v>8M, 256, LRU</c:v>
                </c:pt>
                <c:pt idx="6">
                  <c:v>16M, 256, FIFO</c:v>
                </c:pt>
                <c:pt idx="7">
                  <c:v>16M, 256, FIFOMOD</c:v>
                </c:pt>
                <c:pt idx="8">
                  <c:v>16M, 256, LRU</c:v>
                </c:pt>
              </c:strCache>
            </c:strRef>
          </c:cat>
          <c:val>
            <c:numRef>
              <c:f>Hoja1!$O$52:$O$60</c:f>
              <c:numCache>
                <c:formatCode>General</c:formatCode>
                <c:ptCount val="9"/>
                <c:pt idx="0">
                  <c:v>543120</c:v>
                </c:pt>
                <c:pt idx="1">
                  <c:v>532801</c:v>
                </c:pt>
                <c:pt idx="2">
                  <c:v>532801</c:v>
                </c:pt>
                <c:pt idx="3">
                  <c:v>537960</c:v>
                </c:pt>
                <c:pt idx="4">
                  <c:v>532801</c:v>
                </c:pt>
                <c:pt idx="5">
                  <c:v>532801</c:v>
                </c:pt>
                <c:pt idx="6">
                  <c:v>535380</c:v>
                </c:pt>
                <c:pt idx="7">
                  <c:v>532801</c:v>
                </c:pt>
                <c:pt idx="8">
                  <c:v>532801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0-49CF-9ABA-549521A6E5BA}"/>
            </c:ext>
          </c:extLst>
        </c:ser>
        <c:ser>
          <c:idx val="1"/>
          <c:order val="1"/>
          <c:tx>
            <c:strRef>
              <c:f>Hoja1!$P$51</c:f>
              <c:strCache>
                <c:ptCount val="1"/>
                <c:pt idx="0">
                  <c:v>FALLOS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Hoja1!$N$52:$N$60</c:f>
              <c:strCache>
                <c:ptCount val="9"/>
                <c:pt idx="0">
                  <c:v>4M, 256, FIFO</c:v>
                </c:pt>
                <c:pt idx="1">
                  <c:v>4M, 256, FIFOMOD</c:v>
                </c:pt>
                <c:pt idx="2">
                  <c:v>4M, 256, LRU</c:v>
                </c:pt>
                <c:pt idx="3">
                  <c:v>8M, 256, FIFO</c:v>
                </c:pt>
                <c:pt idx="4">
                  <c:v>8M, 256, FIFOMOD</c:v>
                </c:pt>
                <c:pt idx="5">
                  <c:v>8M, 256, LRU</c:v>
                </c:pt>
                <c:pt idx="6">
                  <c:v>16M, 256, FIFO</c:v>
                </c:pt>
                <c:pt idx="7">
                  <c:v>16M, 256, FIFOMOD</c:v>
                </c:pt>
                <c:pt idx="8">
                  <c:v>16M, 256, LRU</c:v>
                </c:pt>
              </c:strCache>
            </c:strRef>
          </c:cat>
          <c:val>
            <c:numRef>
              <c:f>Hoja1!$P$52:$P$60</c:f>
              <c:numCache>
                <c:formatCode>General</c:formatCode>
                <c:ptCount val="9"/>
                <c:pt idx="0">
                  <c:v>51600</c:v>
                </c:pt>
                <c:pt idx="1">
                  <c:v>41281</c:v>
                </c:pt>
                <c:pt idx="2">
                  <c:v>41281</c:v>
                </c:pt>
                <c:pt idx="3">
                  <c:v>46440</c:v>
                </c:pt>
                <c:pt idx="4">
                  <c:v>41281</c:v>
                </c:pt>
                <c:pt idx="5">
                  <c:v>41281</c:v>
                </c:pt>
                <c:pt idx="6">
                  <c:v>43860</c:v>
                </c:pt>
                <c:pt idx="7">
                  <c:v>41281</c:v>
                </c:pt>
                <c:pt idx="8">
                  <c:v>41281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60-49CF-9ABA-549521A6E5BA}"/>
            </c:ext>
          </c:extLst>
        </c:ser>
        <c:ser>
          <c:idx val="2"/>
          <c:order val="2"/>
          <c:tx>
            <c:strRef>
              <c:f>Hoja1!$Q$51</c:f>
              <c:strCache>
                <c:ptCount val="1"/>
                <c:pt idx="0">
                  <c:v>TASA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Hoja1!$N$52:$N$60</c:f>
              <c:strCache>
                <c:ptCount val="9"/>
                <c:pt idx="0">
                  <c:v>4M, 256, FIFO</c:v>
                </c:pt>
                <c:pt idx="1">
                  <c:v>4M, 256, FIFOMOD</c:v>
                </c:pt>
                <c:pt idx="2">
                  <c:v>4M, 256, LRU</c:v>
                </c:pt>
                <c:pt idx="3">
                  <c:v>8M, 256, FIFO</c:v>
                </c:pt>
                <c:pt idx="4">
                  <c:v>8M, 256, FIFOMOD</c:v>
                </c:pt>
                <c:pt idx="5">
                  <c:v>8M, 256, LRU</c:v>
                </c:pt>
                <c:pt idx="6">
                  <c:v>16M, 256, FIFO</c:v>
                </c:pt>
                <c:pt idx="7">
                  <c:v>16M, 256, FIFOMOD</c:v>
                </c:pt>
                <c:pt idx="8">
                  <c:v>16M, 256, LRU</c:v>
                </c:pt>
              </c:strCache>
            </c:strRef>
          </c:cat>
          <c:val>
            <c:numRef>
              <c:f>Hoja1!$Q$52:$Q$60</c:f>
              <c:numCache>
                <c:formatCode>General</c:formatCode>
                <c:ptCount val="9"/>
                <c:pt idx="0">
                  <c:v>9.5006628369421128E-2</c:v>
                </c:pt>
                <c:pt idx="1">
                  <c:v>7.7479208935418667E-2</c:v>
                </c:pt>
                <c:pt idx="2">
                  <c:v>7.7479208935418667E-2</c:v>
                </c:pt>
                <c:pt idx="3">
                  <c:v>8.6326120901182246E-2</c:v>
                </c:pt>
                <c:pt idx="4">
                  <c:v>7.7479208935418667E-2</c:v>
                </c:pt>
                <c:pt idx="5">
                  <c:v>7.7479208935418667E-2</c:v>
                </c:pt>
                <c:pt idx="6">
                  <c:v>8.1923120026896779E-2</c:v>
                </c:pt>
                <c:pt idx="7">
                  <c:v>7.7479208935418667E-2</c:v>
                </c:pt>
                <c:pt idx="8">
                  <c:v>7.7479208935418667E-2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60-49CF-9ABA-549521A6E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1371584"/>
        <c:axId val="1316974544"/>
      </c:barChart>
      <c:catAx>
        <c:axId val="152137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974544"/>
        <c:crosses val="autoZero"/>
        <c:auto val="1"/>
        <c:lblAlgn val="ctr"/>
        <c:lblOffset val="100"/>
        <c:noMultiLvlLbl val="0"/>
      </c:catAx>
      <c:valAx>
        <c:axId val="13169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37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 128X128 (1024)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Hoja1!$O$62</c:f>
              <c:strCache>
                <c:ptCount val="1"/>
                <c:pt idx="0">
                  <c:v>ACCESOS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Hoja1!$N$63:$N$71</c:f>
              <c:strCache>
                <c:ptCount val="9"/>
                <c:pt idx="0">
                  <c:v>4M, 1024, FIFO</c:v>
                </c:pt>
                <c:pt idx="1">
                  <c:v>4M, 1024, FIFOMOD</c:v>
                </c:pt>
                <c:pt idx="2">
                  <c:v>4M, 1024, LRU</c:v>
                </c:pt>
                <c:pt idx="3">
                  <c:v>8M, 1024, FIFO</c:v>
                </c:pt>
                <c:pt idx="4">
                  <c:v>8M, 1024, FIFOMOD</c:v>
                </c:pt>
                <c:pt idx="5">
                  <c:v>8M, 1024, LRU</c:v>
                </c:pt>
                <c:pt idx="6">
                  <c:v>16M, 1024, FIFO</c:v>
                </c:pt>
                <c:pt idx="7">
                  <c:v>16M, 1024, FIFOMOD</c:v>
                </c:pt>
                <c:pt idx="8">
                  <c:v>16M, 1024, LRU</c:v>
                </c:pt>
              </c:strCache>
            </c:strRef>
          </c:cat>
          <c:val>
            <c:numRef>
              <c:f>Hoja1!$O$63:$O$71</c:f>
              <c:numCache>
                <c:formatCode>General</c:formatCode>
                <c:ptCount val="9"/>
                <c:pt idx="0">
                  <c:v>504420</c:v>
                </c:pt>
                <c:pt idx="1">
                  <c:v>501841</c:v>
                </c:pt>
                <c:pt idx="2">
                  <c:v>501841</c:v>
                </c:pt>
                <c:pt idx="3">
                  <c:v>503130</c:v>
                </c:pt>
                <c:pt idx="4">
                  <c:v>501841</c:v>
                </c:pt>
                <c:pt idx="5">
                  <c:v>501841</c:v>
                </c:pt>
                <c:pt idx="6">
                  <c:v>502485</c:v>
                </c:pt>
                <c:pt idx="7">
                  <c:v>501841</c:v>
                </c:pt>
                <c:pt idx="8">
                  <c:v>501841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9-49BD-BCC2-AFE7FB45BD00}"/>
            </c:ext>
          </c:extLst>
        </c:ser>
        <c:ser>
          <c:idx val="1"/>
          <c:order val="1"/>
          <c:tx>
            <c:strRef>
              <c:f>Hoja1!$P$62</c:f>
              <c:strCache>
                <c:ptCount val="1"/>
                <c:pt idx="0">
                  <c:v>FALLOS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Hoja1!$N$63:$N$71</c:f>
              <c:strCache>
                <c:ptCount val="9"/>
                <c:pt idx="0">
                  <c:v>4M, 1024, FIFO</c:v>
                </c:pt>
                <c:pt idx="1">
                  <c:v>4M, 1024, FIFOMOD</c:v>
                </c:pt>
                <c:pt idx="2">
                  <c:v>4M, 1024, LRU</c:v>
                </c:pt>
                <c:pt idx="3">
                  <c:v>8M, 1024, FIFO</c:v>
                </c:pt>
                <c:pt idx="4">
                  <c:v>8M, 1024, FIFOMOD</c:v>
                </c:pt>
                <c:pt idx="5">
                  <c:v>8M, 1024, LRU</c:v>
                </c:pt>
                <c:pt idx="6">
                  <c:v>16M, 1024, FIFO</c:v>
                </c:pt>
                <c:pt idx="7">
                  <c:v>16M, 1024, FIFOMOD</c:v>
                </c:pt>
                <c:pt idx="8">
                  <c:v>16M, 1024, LRU</c:v>
                </c:pt>
              </c:strCache>
            </c:strRef>
          </c:cat>
          <c:val>
            <c:numRef>
              <c:f>Hoja1!$P$63:$P$71</c:f>
              <c:numCache>
                <c:formatCode>General</c:formatCode>
                <c:ptCount val="9"/>
                <c:pt idx="0">
                  <c:v>12900</c:v>
                </c:pt>
                <c:pt idx="1">
                  <c:v>10321</c:v>
                </c:pt>
                <c:pt idx="2">
                  <c:v>10321</c:v>
                </c:pt>
                <c:pt idx="3">
                  <c:v>11610</c:v>
                </c:pt>
                <c:pt idx="4">
                  <c:v>10321</c:v>
                </c:pt>
                <c:pt idx="5">
                  <c:v>10321</c:v>
                </c:pt>
                <c:pt idx="6">
                  <c:v>10965</c:v>
                </c:pt>
                <c:pt idx="7">
                  <c:v>10321</c:v>
                </c:pt>
                <c:pt idx="8">
                  <c:v>10321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9-49BD-BCC2-AFE7FB45BD00}"/>
            </c:ext>
          </c:extLst>
        </c:ser>
        <c:ser>
          <c:idx val="2"/>
          <c:order val="2"/>
          <c:tx>
            <c:strRef>
              <c:f>Hoja1!$Q$62</c:f>
              <c:strCache>
                <c:ptCount val="1"/>
                <c:pt idx="0">
                  <c:v>TASA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Hoja1!$N$63:$N$71</c:f>
              <c:strCache>
                <c:ptCount val="9"/>
                <c:pt idx="0">
                  <c:v>4M, 1024, FIFO</c:v>
                </c:pt>
                <c:pt idx="1">
                  <c:v>4M, 1024, FIFOMOD</c:v>
                </c:pt>
                <c:pt idx="2">
                  <c:v>4M, 1024, LRU</c:v>
                </c:pt>
                <c:pt idx="3">
                  <c:v>8M, 1024, FIFO</c:v>
                </c:pt>
                <c:pt idx="4">
                  <c:v>8M, 1024, FIFOMOD</c:v>
                </c:pt>
                <c:pt idx="5">
                  <c:v>8M, 1024, LRU</c:v>
                </c:pt>
                <c:pt idx="6">
                  <c:v>16M, 1024, FIFO</c:v>
                </c:pt>
                <c:pt idx="7">
                  <c:v>16M, 1024, FIFOMOD</c:v>
                </c:pt>
                <c:pt idx="8">
                  <c:v>16M, 1024, LRU</c:v>
                </c:pt>
              </c:strCache>
            </c:strRef>
          </c:cat>
          <c:val>
            <c:numRef>
              <c:f>Hoja1!$Q$63:$Q$71</c:f>
              <c:numCache>
                <c:formatCode>General</c:formatCode>
                <c:ptCount val="9"/>
                <c:pt idx="0">
                  <c:v>2.5573926489829903E-2</c:v>
                </c:pt>
                <c:pt idx="1">
                  <c:v>2.0566274975540061E-2</c:v>
                </c:pt>
                <c:pt idx="2">
                  <c:v>2.0566274975540061E-2</c:v>
                </c:pt>
                <c:pt idx="3">
                  <c:v>2.3075547075308567E-2</c:v>
                </c:pt>
                <c:pt idx="4">
                  <c:v>2.0566274975540061E-2</c:v>
                </c:pt>
                <c:pt idx="5">
                  <c:v>2.0566274975540061E-2</c:v>
                </c:pt>
                <c:pt idx="6">
                  <c:v>2.1821546911848115E-2</c:v>
                </c:pt>
                <c:pt idx="7">
                  <c:v>2.0566274975540061E-2</c:v>
                </c:pt>
                <c:pt idx="8">
                  <c:v>2.0566274975540061E-2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9-49BD-BCC2-AFE7FB45B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1681888"/>
        <c:axId val="1316864144"/>
      </c:barChart>
      <c:catAx>
        <c:axId val="151168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64144"/>
        <c:crosses val="autoZero"/>
        <c:auto val="1"/>
        <c:lblAlgn val="ctr"/>
        <c:lblOffset val="100"/>
        <c:noMultiLvlLbl val="0"/>
      </c:catAx>
      <c:valAx>
        <c:axId val="13168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68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442347</xdr:colOff>
      <xdr:row>75</xdr:row>
      <xdr:rowOff>75984</xdr:rowOff>
    </xdr:from>
    <xdr:to>
      <xdr:col>15</xdr:col>
      <xdr:colOff>21526</xdr:colOff>
      <xdr:row>95</xdr:row>
      <xdr:rowOff>96863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266DDB-51F0-D76D-04AE-65FFE627B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420821</xdr:colOff>
      <xdr:row>96</xdr:row>
      <xdr:rowOff>75983</xdr:rowOff>
    </xdr:from>
    <xdr:to>
      <xdr:col>14</xdr:col>
      <xdr:colOff>764151</xdr:colOff>
      <xdr:row>114</xdr:row>
      <xdr:rowOff>107626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1D24C4-A81F-3294-C17B-48782238C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427634</xdr:colOff>
      <xdr:row>115</xdr:row>
      <xdr:rowOff>96836</xdr:rowOff>
    </xdr:from>
    <xdr:to>
      <xdr:col>14</xdr:col>
      <xdr:colOff>684610</xdr:colOff>
      <xdr:row>133</xdr:row>
      <xdr:rowOff>99218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3BDECE5-9ADE-2A0D-720E-39BD30E79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20836</xdr:colOff>
      <xdr:row>75</xdr:row>
      <xdr:rowOff>7540</xdr:rowOff>
    </xdr:from>
    <xdr:to>
      <xdr:col>31</xdr:col>
      <xdr:colOff>585389</xdr:colOff>
      <xdr:row>95</xdr:row>
      <xdr:rowOff>69453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6580FDF-1DA2-DEF7-2CCC-24E3BE6E4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76574</xdr:colOff>
      <xdr:row>96</xdr:row>
      <xdr:rowOff>29135</xdr:rowOff>
    </xdr:from>
    <xdr:to>
      <xdr:col>31</xdr:col>
      <xdr:colOff>692728</xdr:colOff>
      <xdr:row>114</xdr:row>
      <xdr:rowOff>80818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A2DE464-B074-D602-B43F-54E5AA6E1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51340</xdr:colOff>
      <xdr:row>115</xdr:row>
      <xdr:rowOff>74039</xdr:rowOff>
    </xdr:from>
    <xdr:to>
      <xdr:col>31</xdr:col>
      <xdr:colOff>630309</xdr:colOff>
      <xdr:row>133</xdr:row>
      <xdr:rowOff>122346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F2EC271-0175-39FC-BC00-984BD4FD1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15873</xdr:colOff>
      <xdr:row>74</xdr:row>
      <xdr:rowOff>182826</xdr:rowOff>
    </xdr:from>
    <xdr:to>
      <xdr:col>45</xdr:col>
      <xdr:colOff>555624</xdr:colOff>
      <xdr:row>94</xdr:row>
      <xdr:rowOff>171980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C46BC2A-0677-D112-80DE-EFFEA53C6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22601</xdr:colOff>
      <xdr:row>96</xdr:row>
      <xdr:rowOff>11406</xdr:rowOff>
    </xdr:from>
    <xdr:to>
      <xdr:col>45</xdr:col>
      <xdr:colOff>710338</xdr:colOff>
      <xdr:row>114</xdr:row>
      <xdr:rowOff>96863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554B7E4-5D52-C286-B243-E8F8CEC4C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11841</xdr:colOff>
      <xdr:row>115</xdr:row>
      <xdr:rowOff>86748</xdr:rowOff>
    </xdr:from>
    <xdr:to>
      <xdr:col>45</xdr:col>
      <xdr:colOff>710339</xdr:colOff>
      <xdr:row>133</xdr:row>
      <xdr:rowOff>96864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988E2D4-DD8C-E5B9-957E-7B2910AFD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1186-F45F-4A2A-87F1-25C4A75C0733}">
  <dimension ref="B3:S115"/>
  <sheetViews>
    <sheetView tabSelected="1" topLeftCell="A51" zoomScale="16" zoomScaleNormal="85" workbookViewId="0">
      <selection activeCell="T115" sqref="T115"/>
    </sheetView>
  </sheetViews>
  <sheetFormatPr baseColWidth="10" defaultRowHeight="14.5" x14ac:dyDescent="0.35"/>
  <cols>
    <col min="2" max="2" width="18.90625" bestFit="1" customWidth="1"/>
    <col min="8" max="8" width="18.90625" bestFit="1" customWidth="1"/>
    <col min="14" max="14" width="18.90625" bestFit="1" customWidth="1"/>
  </cols>
  <sheetData>
    <row r="3" spans="2:17" x14ac:dyDescent="0.35">
      <c r="B3" s="1" t="s">
        <v>34</v>
      </c>
      <c r="C3" s="1"/>
      <c r="D3" s="1"/>
      <c r="E3" s="1"/>
      <c r="H3" s="1" t="s">
        <v>33</v>
      </c>
      <c r="I3" s="1"/>
      <c r="J3" s="1"/>
      <c r="K3" s="1"/>
      <c r="N3" s="1" t="s">
        <v>32</v>
      </c>
      <c r="O3" s="1"/>
      <c r="P3" s="1"/>
      <c r="Q3" s="1"/>
    </row>
    <row r="5" spans="2:17" x14ac:dyDescent="0.35">
      <c r="B5" s="2" t="s">
        <v>0</v>
      </c>
      <c r="C5" s="2" t="s">
        <v>1</v>
      </c>
      <c r="D5" s="2" t="s">
        <v>2</v>
      </c>
      <c r="E5" s="2" t="s">
        <v>22</v>
      </c>
      <c r="H5" s="2" t="s">
        <v>0</v>
      </c>
      <c r="I5" s="2" t="s">
        <v>1</v>
      </c>
      <c r="J5" s="2" t="s">
        <v>2</v>
      </c>
      <c r="K5" s="2" t="s">
        <v>22</v>
      </c>
      <c r="N5" s="2" t="s">
        <v>0</v>
      </c>
      <c r="O5" s="2" t="s">
        <v>1</v>
      </c>
      <c r="P5" s="2" t="s">
        <v>2</v>
      </c>
      <c r="Q5" s="2" t="s">
        <v>22</v>
      </c>
    </row>
    <row r="6" spans="2:17" x14ac:dyDescent="0.35">
      <c r="B6" s="3" t="s">
        <v>4</v>
      </c>
      <c r="C6" s="6">
        <v>1922</v>
      </c>
      <c r="D6" s="6">
        <v>2</v>
      </c>
      <c r="E6" s="6">
        <f>D6/C6</f>
        <v>1.0405827263267431E-3</v>
      </c>
      <c r="H6" s="3" t="s">
        <v>4</v>
      </c>
      <c r="I6" s="6">
        <v>8105</v>
      </c>
      <c r="J6" s="6">
        <v>425</v>
      </c>
      <c r="K6" s="6">
        <f>J6/I6</f>
        <v>5.2436767427513881E-2</v>
      </c>
      <c r="N6" s="3" t="s">
        <v>4</v>
      </c>
      <c r="O6" s="6">
        <v>595840</v>
      </c>
      <c r="P6" s="6">
        <v>104320</v>
      </c>
      <c r="Q6" s="6">
        <f>P6/O6</f>
        <v>0.17508055853920515</v>
      </c>
    </row>
    <row r="7" spans="2:17" x14ac:dyDescent="0.35">
      <c r="B7" s="3" t="s">
        <v>5</v>
      </c>
      <c r="C7" s="6">
        <v>1921</v>
      </c>
      <c r="D7" s="6">
        <v>1</v>
      </c>
      <c r="E7" s="6">
        <f t="shared" ref="E7:E23" si="0">D7/C7</f>
        <v>5.2056220718375845E-4</v>
      </c>
      <c r="H7" s="3" t="s">
        <v>5</v>
      </c>
      <c r="I7" s="6">
        <v>7682</v>
      </c>
      <c r="J7" s="6">
        <v>2</v>
      </c>
      <c r="K7" s="6">
        <f t="shared" ref="K7:K16" si="1">J7/I7</f>
        <v>2.6034886748242648E-4</v>
      </c>
      <c r="N7" s="3" t="s">
        <v>5</v>
      </c>
      <c r="O7" s="6">
        <v>543120</v>
      </c>
      <c r="P7" s="6">
        <v>51600</v>
      </c>
      <c r="Q7" s="6">
        <f t="shared" ref="Q7:Q16" si="2">P7/O7</f>
        <v>9.5006628369421128E-2</v>
      </c>
    </row>
    <row r="8" spans="2:17" x14ac:dyDescent="0.35">
      <c r="B8" s="3" t="s">
        <v>6</v>
      </c>
      <c r="C8" s="6">
        <v>1921</v>
      </c>
      <c r="D8" s="6">
        <v>1</v>
      </c>
      <c r="E8" s="6">
        <f t="shared" si="0"/>
        <v>5.2056220718375845E-4</v>
      </c>
      <c r="H8" s="3" t="s">
        <v>6</v>
      </c>
      <c r="I8" s="6">
        <v>7681</v>
      </c>
      <c r="J8" s="6">
        <v>1</v>
      </c>
      <c r="K8" s="6">
        <f t="shared" si="1"/>
        <v>1.3019138133055591E-4</v>
      </c>
      <c r="N8" s="3" t="s">
        <v>6</v>
      </c>
      <c r="O8" s="6">
        <v>504420</v>
      </c>
      <c r="P8" s="6">
        <v>12900</v>
      </c>
      <c r="Q8" s="6">
        <f t="shared" si="2"/>
        <v>2.5573926489829903E-2</v>
      </c>
    </row>
    <row r="9" spans="2:17" x14ac:dyDescent="0.35">
      <c r="B9" s="3" t="s">
        <v>7</v>
      </c>
      <c r="C9" s="6">
        <v>1922</v>
      </c>
      <c r="D9" s="6">
        <v>2</v>
      </c>
      <c r="E9" s="6">
        <f t="shared" si="0"/>
        <v>1.0405827263267431E-3</v>
      </c>
      <c r="H9" s="3" t="s">
        <v>7</v>
      </c>
      <c r="I9" s="6">
        <v>8021</v>
      </c>
      <c r="J9" s="6">
        <v>341</v>
      </c>
      <c r="K9" s="6">
        <f t="shared" si="1"/>
        <v>4.2513402318912853E-2</v>
      </c>
      <c r="N9" s="3" t="s">
        <v>7</v>
      </c>
      <c r="O9" s="6">
        <v>577280</v>
      </c>
      <c r="P9" s="6">
        <v>85760</v>
      </c>
      <c r="Q9" s="6">
        <f t="shared" si="2"/>
        <v>0.14855875831485588</v>
      </c>
    </row>
    <row r="10" spans="2:17" x14ac:dyDescent="0.35">
      <c r="B10" s="3" t="s">
        <v>8</v>
      </c>
      <c r="C10" s="6">
        <v>1921</v>
      </c>
      <c r="D10" s="6">
        <v>1</v>
      </c>
      <c r="E10" s="6">
        <f t="shared" si="0"/>
        <v>5.2056220718375845E-4</v>
      </c>
      <c r="H10" s="3" t="s">
        <v>8</v>
      </c>
      <c r="I10" s="6">
        <v>7682</v>
      </c>
      <c r="J10" s="6">
        <v>2</v>
      </c>
      <c r="K10" s="6">
        <f t="shared" si="1"/>
        <v>2.6034886748242648E-4</v>
      </c>
      <c r="N10" s="3" t="s">
        <v>8</v>
      </c>
      <c r="O10" s="6">
        <v>532801</v>
      </c>
      <c r="P10" s="6">
        <v>41281</v>
      </c>
      <c r="Q10" s="6">
        <f t="shared" si="2"/>
        <v>7.7479208935418667E-2</v>
      </c>
    </row>
    <row r="11" spans="2:17" x14ac:dyDescent="0.35">
      <c r="B11" s="3" t="s">
        <v>9</v>
      </c>
      <c r="C11" s="6">
        <v>1921</v>
      </c>
      <c r="D11" s="6">
        <v>1</v>
      </c>
      <c r="E11" s="6">
        <f t="shared" si="0"/>
        <v>5.2056220718375845E-4</v>
      </c>
      <c r="H11" s="3" t="s">
        <v>9</v>
      </c>
      <c r="I11" s="6">
        <v>7681</v>
      </c>
      <c r="J11" s="6">
        <v>1</v>
      </c>
      <c r="K11" s="6">
        <f t="shared" si="1"/>
        <v>1.3019138133055591E-4</v>
      </c>
      <c r="N11" s="3" t="s">
        <v>9</v>
      </c>
      <c r="O11" s="6">
        <v>501841</v>
      </c>
      <c r="P11" s="6">
        <v>10321</v>
      </c>
      <c r="Q11" s="6">
        <f t="shared" si="2"/>
        <v>2.0566274975540061E-2</v>
      </c>
    </row>
    <row r="12" spans="2:17" x14ac:dyDescent="0.35">
      <c r="B12" s="3" t="s">
        <v>10</v>
      </c>
      <c r="C12" s="6">
        <v>1922</v>
      </c>
      <c r="D12" s="6">
        <v>2</v>
      </c>
      <c r="E12" s="6">
        <f t="shared" si="0"/>
        <v>1.0405827263267431E-3</v>
      </c>
      <c r="H12" s="3" t="s">
        <v>10</v>
      </c>
      <c r="I12" s="6">
        <v>8021</v>
      </c>
      <c r="J12" s="6">
        <v>341</v>
      </c>
      <c r="K12" s="6">
        <f t="shared" si="1"/>
        <v>4.2513402318912853E-2</v>
      </c>
      <c r="N12" s="3" t="s">
        <v>10</v>
      </c>
      <c r="O12" s="6">
        <v>577280</v>
      </c>
      <c r="P12" s="6">
        <v>85760</v>
      </c>
      <c r="Q12" s="6">
        <f t="shared" si="2"/>
        <v>0.14855875831485588</v>
      </c>
    </row>
    <row r="13" spans="2:17" x14ac:dyDescent="0.35">
      <c r="B13" s="3" t="s">
        <v>11</v>
      </c>
      <c r="C13" s="6">
        <v>1921</v>
      </c>
      <c r="D13" s="6">
        <v>1</v>
      </c>
      <c r="E13" s="6">
        <f t="shared" si="0"/>
        <v>5.2056220718375845E-4</v>
      </c>
      <c r="H13" s="3" t="s">
        <v>11</v>
      </c>
      <c r="I13" s="6">
        <v>7682</v>
      </c>
      <c r="J13" s="6">
        <v>2</v>
      </c>
      <c r="K13" s="6">
        <f t="shared" si="1"/>
        <v>2.6034886748242648E-4</v>
      </c>
      <c r="N13" s="3" t="s">
        <v>11</v>
      </c>
      <c r="O13" s="6">
        <v>532801</v>
      </c>
      <c r="P13" s="6">
        <v>41281</v>
      </c>
      <c r="Q13" s="6">
        <f t="shared" si="2"/>
        <v>7.7479208935418667E-2</v>
      </c>
    </row>
    <row r="14" spans="2:17" x14ac:dyDescent="0.35">
      <c r="B14" s="3" t="s">
        <v>12</v>
      </c>
      <c r="C14" s="6">
        <v>1921</v>
      </c>
      <c r="D14" s="6">
        <v>1</v>
      </c>
      <c r="E14" s="6">
        <f t="shared" si="0"/>
        <v>5.2056220718375845E-4</v>
      </c>
      <c r="H14" s="3" t="s">
        <v>12</v>
      </c>
      <c r="I14" s="6">
        <v>7681</v>
      </c>
      <c r="J14" s="6">
        <v>1</v>
      </c>
      <c r="K14" s="6">
        <f t="shared" si="1"/>
        <v>1.3019138133055591E-4</v>
      </c>
      <c r="N14" s="3" t="s">
        <v>12</v>
      </c>
      <c r="O14" s="6">
        <v>501841</v>
      </c>
      <c r="P14" s="6">
        <v>10321</v>
      </c>
      <c r="Q14" s="6">
        <f t="shared" si="2"/>
        <v>2.0566274975540061E-2</v>
      </c>
    </row>
    <row r="15" spans="2:17" x14ac:dyDescent="0.35">
      <c r="B15" s="4" t="s">
        <v>13</v>
      </c>
      <c r="C15" s="7">
        <v>1922</v>
      </c>
      <c r="D15" s="7">
        <v>2</v>
      </c>
      <c r="E15" s="7">
        <f t="shared" si="0"/>
        <v>1.0405827263267431E-3</v>
      </c>
      <c r="H15" s="4" t="s">
        <v>13</v>
      </c>
      <c r="I15" s="7">
        <v>7685</v>
      </c>
      <c r="J15" s="7">
        <v>5</v>
      </c>
      <c r="K15" s="7">
        <f t="shared" si="1"/>
        <v>6.5061808718282373E-4</v>
      </c>
      <c r="N15" s="4" t="s">
        <v>13</v>
      </c>
      <c r="O15" s="7">
        <v>585280</v>
      </c>
      <c r="P15" s="7">
        <v>93760</v>
      </c>
      <c r="Q15" s="7">
        <f t="shared" si="2"/>
        <v>0.160196828868234</v>
      </c>
    </row>
    <row r="16" spans="2:17" x14ac:dyDescent="0.35">
      <c r="B16" s="4" t="s">
        <v>14</v>
      </c>
      <c r="C16" s="7">
        <v>1921</v>
      </c>
      <c r="D16" s="7">
        <v>1</v>
      </c>
      <c r="E16" s="7">
        <f t="shared" si="0"/>
        <v>5.2056220718375845E-4</v>
      </c>
      <c r="H16" s="4" t="s">
        <v>14</v>
      </c>
      <c r="I16" s="7">
        <v>7682</v>
      </c>
      <c r="J16" s="7">
        <v>2</v>
      </c>
      <c r="K16" s="7">
        <f t="shared" si="1"/>
        <v>2.6034886748242648E-4</v>
      </c>
      <c r="N16" s="4" t="s">
        <v>14</v>
      </c>
      <c r="O16" s="7">
        <v>537960</v>
      </c>
      <c r="P16" s="7">
        <v>46440</v>
      </c>
      <c r="Q16" s="7">
        <f t="shared" si="2"/>
        <v>8.6326120901182246E-2</v>
      </c>
    </row>
    <row r="17" spans="2:17" x14ac:dyDescent="0.35">
      <c r="B17" s="4" t="s">
        <v>15</v>
      </c>
      <c r="C17" s="7">
        <v>1921</v>
      </c>
      <c r="D17" s="7">
        <v>1</v>
      </c>
      <c r="E17" s="7">
        <f>D17/C17</f>
        <v>5.2056220718375845E-4</v>
      </c>
      <c r="H17" s="4" t="s">
        <v>15</v>
      </c>
      <c r="I17" s="7">
        <v>7681</v>
      </c>
      <c r="J17" s="7">
        <v>1</v>
      </c>
      <c r="K17" s="7">
        <f>J17/I17</f>
        <v>1.3019138133055591E-4</v>
      </c>
      <c r="N17" s="4" t="s">
        <v>15</v>
      </c>
      <c r="O17" s="7">
        <v>503130</v>
      </c>
      <c r="P17" s="7">
        <v>11610</v>
      </c>
      <c r="Q17" s="7">
        <f>P17/O17</f>
        <v>2.3075547075308567E-2</v>
      </c>
    </row>
    <row r="18" spans="2:17" x14ac:dyDescent="0.35">
      <c r="B18" s="4" t="s">
        <v>16</v>
      </c>
      <c r="C18" s="7">
        <v>1922</v>
      </c>
      <c r="D18" s="7">
        <v>2</v>
      </c>
      <c r="E18" s="7">
        <f t="shared" si="0"/>
        <v>1.0405827263267431E-3</v>
      </c>
      <c r="H18" s="4" t="s">
        <v>16</v>
      </c>
      <c r="I18" s="7">
        <v>7685</v>
      </c>
      <c r="J18" s="7">
        <v>5</v>
      </c>
      <c r="K18" s="7">
        <f t="shared" ref="K18:K22" si="3">J18/I18</f>
        <v>6.5061808718282373E-4</v>
      </c>
      <c r="N18" s="4" t="s">
        <v>16</v>
      </c>
      <c r="O18" s="7">
        <v>576001</v>
      </c>
      <c r="P18" s="7">
        <v>84481</v>
      </c>
      <c r="Q18" s="7">
        <f t="shared" ref="Q18:Q22" si="4">P18/O18</f>
        <v>0.14666814814557613</v>
      </c>
    </row>
    <row r="19" spans="2:17" x14ac:dyDescent="0.35">
      <c r="B19" s="4" t="s">
        <v>17</v>
      </c>
      <c r="C19" s="7">
        <v>1921</v>
      </c>
      <c r="D19" s="7">
        <v>1</v>
      </c>
      <c r="E19" s="7">
        <f t="shared" si="0"/>
        <v>5.2056220718375845E-4</v>
      </c>
      <c r="H19" s="4" t="s">
        <v>17</v>
      </c>
      <c r="I19" s="7">
        <v>7682</v>
      </c>
      <c r="J19" s="7">
        <v>2</v>
      </c>
      <c r="K19" s="7">
        <f t="shared" si="3"/>
        <v>2.6034886748242648E-4</v>
      </c>
      <c r="N19" s="4" t="s">
        <v>17</v>
      </c>
      <c r="O19" s="7">
        <v>532801</v>
      </c>
      <c r="P19" s="7">
        <v>41281</v>
      </c>
      <c r="Q19" s="7">
        <f t="shared" si="4"/>
        <v>7.7479208935418667E-2</v>
      </c>
    </row>
    <row r="20" spans="2:17" x14ac:dyDescent="0.35">
      <c r="B20" s="4" t="s">
        <v>18</v>
      </c>
      <c r="C20" s="7">
        <v>1921</v>
      </c>
      <c r="D20" s="7">
        <v>1</v>
      </c>
      <c r="E20" s="7">
        <f t="shared" si="0"/>
        <v>5.2056220718375845E-4</v>
      </c>
      <c r="H20" s="4" t="s">
        <v>18</v>
      </c>
      <c r="I20" s="7">
        <v>7681</v>
      </c>
      <c r="J20" s="7">
        <v>1</v>
      </c>
      <c r="K20" s="7">
        <f t="shared" si="3"/>
        <v>1.3019138133055591E-4</v>
      </c>
      <c r="N20" s="4" t="s">
        <v>18</v>
      </c>
      <c r="O20" s="7">
        <v>501841</v>
      </c>
      <c r="P20" s="7">
        <v>10321</v>
      </c>
      <c r="Q20" s="7">
        <f t="shared" si="4"/>
        <v>2.0566274975540061E-2</v>
      </c>
    </row>
    <row r="21" spans="2:17" x14ac:dyDescent="0.35">
      <c r="B21" s="4" t="s">
        <v>19</v>
      </c>
      <c r="C21" s="7">
        <v>1922</v>
      </c>
      <c r="D21" s="7">
        <v>2</v>
      </c>
      <c r="E21" s="7">
        <f t="shared" si="0"/>
        <v>1.0405827263267431E-3</v>
      </c>
      <c r="H21" s="4" t="s">
        <v>19</v>
      </c>
      <c r="I21" s="7">
        <v>7685</v>
      </c>
      <c r="J21" s="7">
        <v>5</v>
      </c>
      <c r="K21" s="7">
        <f t="shared" si="3"/>
        <v>6.5061808718282373E-4</v>
      </c>
      <c r="N21" s="4" t="s">
        <v>19</v>
      </c>
      <c r="O21" s="7">
        <v>576001</v>
      </c>
      <c r="P21" s="7">
        <v>84481</v>
      </c>
      <c r="Q21" s="7">
        <f t="shared" si="4"/>
        <v>0.14666814814557613</v>
      </c>
    </row>
    <row r="22" spans="2:17" x14ac:dyDescent="0.35">
      <c r="B22" s="4" t="s">
        <v>20</v>
      </c>
      <c r="C22" s="7">
        <v>1921</v>
      </c>
      <c r="D22" s="7">
        <v>1</v>
      </c>
      <c r="E22" s="7">
        <f t="shared" si="0"/>
        <v>5.2056220718375845E-4</v>
      </c>
      <c r="H22" s="4" t="s">
        <v>20</v>
      </c>
      <c r="I22" s="7">
        <v>7682</v>
      </c>
      <c r="J22" s="7">
        <v>2</v>
      </c>
      <c r="K22" s="7">
        <f t="shared" si="3"/>
        <v>2.6034886748242648E-4</v>
      </c>
      <c r="N22" s="4" t="s">
        <v>20</v>
      </c>
      <c r="O22" s="7">
        <v>532801</v>
      </c>
      <c r="P22" s="7">
        <v>41281</v>
      </c>
      <c r="Q22" s="7">
        <f t="shared" si="4"/>
        <v>7.7479208935418667E-2</v>
      </c>
    </row>
    <row r="23" spans="2:17" x14ac:dyDescent="0.35">
      <c r="B23" s="4" t="s">
        <v>21</v>
      </c>
      <c r="C23" s="7">
        <v>1921</v>
      </c>
      <c r="D23" s="7">
        <v>1</v>
      </c>
      <c r="E23" s="7">
        <f>D23/C23</f>
        <v>5.2056220718375845E-4</v>
      </c>
      <c r="H23" s="4" t="s">
        <v>21</v>
      </c>
      <c r="I23" s="7">
        <v>7681</v>
      </c>
      <c r="J23" s="7">
        <v>1</v>
      </c>
      <c r="K23" s="7">
        <f>J23/I23</f>
        <v>1.3019138133055591E-4</v>
      </c>
      <c r="N23" s="4" t="s">
        <v>21</v>
      </c>
      <c r="O23" s="7">
        <v>501841</v>
      </c>
      <c r="P23" s="7">
        <v>10321</v>
      </c>
      <c r="Q23" s="7">
        <f>P23/O23</f>
        <v>2.0566274975540061E-2</v>
      </c>
    </row>
    <row r="24" spans="2:17" x14ac:dyDescent="0.35">
      <c r="B24" s="5" t="s">
        <v>23</v>
      </c>
      <c r="C24" s="8">
        <v>1922</v>
      </c>
      <c r="D24" s="8">
        <v>2</v>
      </c>
      <c r="E24" s="8">
        <f>D24/C24</f>
        <v>1.0405827263267431E-3</v>
      </c>
      <c r="H24" s="5" t="s">
        <v>23</v>
      </c>
      <c r="I24" s="8">
        <v>7685</v>
      </c>
      <c r="J24" s="8">
        <v>5</v>
      </c>
      <c r="K24" s="8">
        <f>J24/I24</f>
        <v>6.5061808718282373E-4</v>
      </c>
      <c r="N24" s="5" t="s">
        <v>23</v>
      </c>
      <c r="O24" s="8">
        <v>580000</v>
      </c>
      <c r="P24" s="8">
        <v>88480</v>
      </c>
      <c r="Q24" s="8">
        <f>P24/O24</f>
        <v>0.15255172413793103</v>
      </c>
    </row>
    <row r="25" spans="2:17" x14ac:dyDescent="0.35">
      <c r="B25" s="5" t="s">
        <v>24</v>
      </c>
      <c r="C25" s="8">
        <v>1921</v>
      </c>
      <c r="D25" s="8">
        <v>1</v>
      </c>
      <c r="E25" s="8">
        <f>D25/C25</f>
        <v>5.2056220718375845E-4</v>
      </c>
      <c r="H25" s="5" t="s">
        <v>24</v>
      </c>
      <c r="I25" s="8">
        <v>7682</v>
      </c>
      <c r="J25" s="8">
        <v>2</v>
      </c>
      <c r="K25" s="8">
        <f>J25/I25</f>
        <v>2.6034886748242648E-4</v>
      </c>
      <c r="N25" s="5" t="s">
        <v>24</v>
      </c>
      <c r="O25" s="8">
        <v>535380</v>
      </c>
      <c r="P25" s="8">
        <v>43860</v>
      </c>
      <c r="Q25" s="8">
        <f>P25/O25</f>
        <v>8.1923120026896779E-2</v>
      </c>
    </row>
    <row r="26" spans="2:17" x14ac:dyDescent="0.35">
      <c r="B26" s="5" t="s">
        <v>25</v>
      </c>
      <c r="C26" s="8">
        <v>1921</v>
      </c>
      <c r="D26" s="8">
        <v>1</v>
      </c>
      <c r="E26" s="8">
        <f t="shared" ref="E26:E32" si="5">D26/C26</f>
        <v>5.2056220718375845E-4</v>
      </c>
      <c r="H26" s="5" t="s">
        <v>25</v>
      </c>
      <c r="I26" s="8">
        <v>7681</v>
      </c>
      <c r="J26" s="8">
        <v>1</v>
      </c>
      <c r="K26" s="8">
        <f t="shared" ref="K26:K32" si="6">J26/I26</f>
        <v>1.3019138133055591E-4</v>
      </c>
      <c r="N26" s="5" t="s">
        <v>25</v>
      </c>
      <c r="O26" s="8">
        <v>502485</v>
      </c>
      <c r="P26" s="8">
        <v>10965</v>
      </c>
      <c r="Q26" s="8">
        <f t="shared" ref="Q26:Q32" si="7">P26/O26</f>
        <v>2.1821546911848115E-2</v>
      </c>
    </row>
    <row r="27" spans="2:17" x14ac:dyDescent="0.35">
      <c r="B27" s="5" t="s">
        <v>28</v>
      </c>
      <c r="C27" s="8">
        <v>1922</v>
      </c>
      <c r="D27" s="8">
        <v>2</v>
      </c>
      <c r="E27" s="8">
        <f t="shared" si="5"/>
        <v>1.0405827263267431E-3</v>
      </c>
      <c r="H27" s="5" t="s">
        <v>28</v>
      </c>
      <c r="I27" s="8">
        <v>7685</v>
      </c>
      <c r="J27" s="8">
        <v>5</v>
      </c>
      <c r="K27" s="8">
        <f t="shared" si="6"/>
        <v>6.5061808718282373E-4</v>
      </c>
      <c r="N27" s="5" t="s">
        <v>28</v>
      </c>
      <c r="O27" s="8">
        <v>576001</v>
      </c>
      <c r="P27" s="8">
        <v>84481</v>
      </c>
      <c r="Q27" s="8">
        <f t="shared" si="7"/>
        <v>0.14666814814557613</v>
      </c>
    </row>
    <row r="28" spans="2:17" x14ac:dyDescent="0.35">
      <c r="B28" s="5" t="s">
        <v>26</v>
      </c>
      <c r="C28" s="8">
        <v>1921</v>
      </c>
      <c r="D28" s="8">
        <v>1</v>
      </c>
      <c r="E28" s="8">
        <f t="shared" si="5"/>
        <v>5.2056220718375845E-4</v>
      </c>
      <c r="H28" s="5" t="s">
        <v>26</v>
      </c>
      <c r="I28" s="8">
        <v>7682</v>
      </c>
      <c r="J28" s="8">
        <v>2</v>
      </c>
      <c r="K28" s="8">
        <f t="shared" si="6"/>
        <v>2.6034886748242648E-4</v>
      </c>
      <c r="N28" s="5" t="s">
        <v>26</v>
      </c>
      <c r="O28" s="8">
        <v>532801</v>
      </c>
      <c r="P28" s="8">
        <v>41281</v>
      </c>
      <c r="Q28" s="8">
        <f t="shared" si="7"/>
        <v>7.7479208935418667E-2</v>
      </c>
    </row>
    <row r="29" spans="2:17" x14ac:dyDescent="0.35">
      <c r="B29" s="5" t="s">
        <v>27</v>
      </c>
      <c r="C29" s="8">
        <v>1921</v>
      </c>
      <c r="D29" s="8">
        <v>1</v>
      </c>
      <c r="E29" s="8">
        <f t="shared" si="5"/>
        <v>5.2056220718375845E-4</v>
      </c>
      <c r="H29" s="5" t="s">
        <v>27</v>
      </c>
      <c r="I29" s="8">
        <v>7681</v>
      </c>
      <c r="J29" s="8">
        <v>1</v>
      </c>
      <c r="K29" s="8">
        <f t="shared" si="6"/>
        <v>1.3019138133055591E-4</v>
      </c>
      <c r="N29" s="5" t="s">
        <v>27</v>
      </c>
      <c r="O29" s="8">
        <v>501841</v>
      </c>
      <c r="P29" s="8">
        <v>10321</v>
      </c>
      <c r="Q29" s="8">
        <f t="shared" si="7"/>
        <v>2.0566274975540061E-2</v>
      </c>
    </row>
    <row r="30" spans="2:17" x14ac:dyDescent="0.35">
      <c r="B30" s="5" t="s">
        <v>29</v>
      </c>
      <c r="C30" s="8">
        <v>1922</v>
      </c>
      <c r="D30" s="8">
        <v>2</v>
      </c>
      <c r="E30" s="8">
        <f t="shared" si="5"/>
        <v>1.0405827263267431E-3</v>
      </c>
      <c r="H30" s="5" t="s">
        <v>29</v>
      </c>
      <c r="I30" s="8">
        <v>7685</v>
      </c>
      <c r="J30" s="8">
        <v>5</v>
      </c>
      <c r="K30" s="8">
        <f t="shared" si="6"/>
        <v>6.5061808718282373E-4</v>
      </c>
      <c r="N30" s="5" t="s">
        <v>29</v>
      </c>
      <c r="O30" s="8">
        <v>576001</v>
      </c>
      <c r="P30" s="8">
        <v>84481</v>
      </c>
      <c r="Q30" s="8">
        <f t="shared" si="7"/>
        <v>0.14666814814557613</v>
      </c>
    </row>
    <row r="31" spans="2:17" x14ac:dyDescent="0.35">
      <c r="B31" s="5" t="s">
        <v>30</v>
      </c>
      <c r="C31" s="8">
        <v>1921</v>
      </c>
      <c r="D31" s="8">
        <v>1</v>
      </c>
      <c r="E31" s="8">
        <f t="shared" si="5"/>
        <v>5.2056220718375845E-4</v>
      </c>
      <c r="H31" s="5" t="s">
        <v>30</v>
      </c>
      <c r="I31" s="8">
        <v>7682</v>
      </c>
      <c r="J31" s="8">
        <v>2</v>
      </c>
      <c r="K31" s="8">
        <f t="shared" si="6"/>
        <v>2.6034886748242648E-4</v>
      </c>
      <c r="N31" s="5" t="s">
        <v>30</v>
      </c>
      <c r="O31" s="8">
        <v>532801</v>
      </c>
      <c r="P31" s="8">
        <v>41281</v>
      </c>
      <c r="Q31" s="8">
        <f t="shared" si="7"/>
        <v>7.7479208935418667E-2</v>
      </c>
    </row>
    <row r="32" spans="2:17" x14ac:dyDescent="0.35">
      <c r="B32" s="5" t="s">
        <v>31</v>
      </c>
      <c r="C32" s="8">
        <v>1921</v>
      </c>
      <c r="D32" s="8">
        <v>1</v>
      </c>
      <c r="E32" s="8">
        <f t="shared" si="5"/>
        <v>5.2056220718375845E-4</v>
      </c>
      <c r="H32" s="5" t="s">
        <v>31</v>
      </c>
      <c r="I32" s="8">
        <v>7681</v>
      </c>
      <c r="J32" s="8">
        <v>1</v>
      </c>
      <c r="K32" s="8">
        <f t="shared" si="6"/>
        <v>1.3019138133055591E-4</v>
      </c>
      <c r="N32" s="5" t="s">
        <v>31</v>
      </c>
      <c r="O32" s="8">
        <v>501841</v>
      </c>
      <c r="P32" s="8">
        <v>10321</v>
      </c>
      <c r="Q32" s="8">
        <f t="shared" si="7"/>
        <v>2.0566274975540061E-2</v>
      </c>
    </row>
    <row r="36" spans="2:17" x14ac:dyDescent="0.35">
      <c r="B36" s="9" t="s">
        <v>35</v>
      </c>
      <c r="C36" s="9"/>
      <c r="D36" s="9"/>
      <c r="E36" s="9"/>
      <c r="H36" s="9" t="s">
        <v>36</v>
      </c>
      <c r="I36" s="9"/>
      <c r="J36" s="9"/>
      <c r="K36" s="9"/>
      <c r="N36" s="9" t="s">
        <v>37</v>
      </c>
      <c r="O36" s="9"/>
      <c r="P36" s="9"/>
      <c r="Q36" s="9"/>
    </row>
    <row r="39" spans="2:17" x14ac:dyDescent="0.35">
      <c r="B39" s="2" t="s">
        <v>0</v>
      </c>
      <c r="C39" s="2" t="s">
        <v>1</v>
      </c>
      <c r="D39" s="2" t="s">
        <v>2</v>
      </c>
      <c r="E39" s="2" t="s">
        <v>22</v>
      </c>
      <c r="H39" s="2" t="s">
        <v>0</v>
      </c>
      <c r="I39" s="2" t="s">
        <v>1</v>
      </c>
      <c r="J39" s="2" t="s">
        <v>2</v>
      </c>
      <c r="K39" s="2" t="s">
        <v>22</v>
      </c>
      <c r="N39" s="2" t="s">
        <v>0</v>
      </c>
      <c r="O39" s="2" t="s">
        <v>1</v>
      </c>
      <c r="P39" s="2" t="s">
        <v>2</v>
      </c>
      <c r="Q39" s="2" t="s">
        <v>22</v>
      </c>
    </row>
    <row r="41" spans="2:17" x14ac:dyDescent="0.35">
      <c r="B41" s="3" t="s">
        <v>4</v>
      </c>
      <c r="C41" s="6">
        <v>1922</v>
      </c>
      <c r="D41" s="6">
        <v>2</v>
      </c>
      <c r="E41" s="6">
        <f>D41/C41</f>
        <v>1.0405827263267431E-3</v>
      </c>
      <c r="H41" s="3" t="s">
        <v>4</v>
      </c>
      <c r="I41" s="6">
        <v>8105</v>
      </c>
      <c r="J41" s="6">
        <v>425</v>
      </c>
      <c r="K41" s="6">
        <f>J41/I41</f>
        <v>5.2436767427513881E-2</v>
      </c>
      <c r="N41" s="3" t="s">
        <v>4</v>
      </c>
      <c r="O41" s="6">
        <v>595840</v>
      </c>
      <c r="P41" s="6">
        <v>104320</v>
      </c>
      <c r="Q41" s="6">
        <f>P41/O41</f>
        <v>0.17508055853920515</v>
      </c>
    </row>
    <row r="42" spans="2:17" x14ac:dyDescent="0.35">
      <c r="B42" s="3" t="s">
        <v>7</v>
      </c>
      <c r="C42" s="6">
        <v>1922</v>
      </c>
      <c r="D42" s="6">
        <v>2</v>
      </c>
      <c r="E42" s="6">
        <f t="shared" ref="E42:E46" si="8">D42/C42</f>
        <v>1.0405827263267431E-3</v>
      </c>
      <c r="H42" s="3" t="s">
        <v>7</v>
      </c>
      <c r="I42" s="6">
        <v>8021</v>
      </c>
      <c r="J42" s="6">
        <v>341</v>
      </c>
      <c r="K42" s="6">
        <f t="shared" ref="K42:K46" si="9">J42/I42</f>
        <v>4.2513402318912853E-2</v>
      </c>
      <c r="N42" s="3" t="s">
        <v>7</v>
      </c>
      <c r="O42" s="6">
        <v>577280</v>
      </c>
      <c r="P42" s="6">
        <v>85760</v>
      </c>
      <c r="Q42" s="6">
        <f t="shared" ref="Q42:Q46" si="10">P42/O42</f>
        <v>0.14855875831485588</v>
      </c>
    </row>
    <row r="43" spans="2:17" x14ac:dyDescent="0.35">
      <c r="B43" s="3" t="s">
        <v>10</v>
      </c>
      <c r="C43" s="6">
        <v>1922</v>
      </c>
      <c r="D43" s="6">
        <v>2</v>
      </c>
      <c r="E43" s="6">
        <f t="shared" si="8"/>
        <v>1.0405827263267431E-3</v>
      </c>
      <c r="H43" s="3" t="s">
        <v>10</v>
      </c>
      <c r="I43" s="6">
        <v>8021</v>
      </c>
      <c r="J43" s="6">
        <v>341</v>
      </c>
      <c r="K43" s="6">
        <f t="shared" si="9"/>
        <v>4.2513402318912853E-2</v>
      </c>
      <c r="N43" s="3" t="s">
        <v>10</v>
      </c>
      <c r="O43" s="6">
        <v>577280</v>
      </c>
      <c r="P43" s="6">
        <v>85760</v>
      </c>
      <c r="Q43" s="6">
        <f t="shared" si="10"/>
        <v>0.14855875831485588</v>
      </c>
    </row>
    <row r="44" spans="2:17" x14ac:dyDescent="0.35">
      <c r="B44" s="4" t="s">
        <v>13</v>
      </c>
      <c r="C44" s="7">
        <v>1922</v>
      </c>
      <c r="D44" s="7">
        <v>2</v>
      </c>
      <c r="E44" s="7">
        <f t="shared" si="8"/>
        <v>1.0405827263267431E-3</v>
      </c>
      <c r="H44" s="4" t="s">
        <v>13</v>
      </c>
      <c r="I44" s="7">
        <v>7685</v>
      </c>
      <c r="J44" s="7">
        <v>5</v>
      </c>
      <c r="K44" s="7">
        <f t="shared" si="9"/>
        <v>6.5061808718282373E-4</v>
      </c>
      <c r="N44" s="4" t="s">
        <v>13</v>
      </c>
      <c r="O44" s="7">
        <v>585280</v>
      </c>
      <c r="P44" s="7">
        <v>93760</v>
      </c>
      <c r="Q44" s="7">
        <f t="shared" si="10"/>
        <v>0.160196828868234</v>
      </c>
    </row>
    <row r="45" spans="2:17" x14ac:dyDescent="0.35">
      <c r="B45" s="4" t="s">
        <v>16</v>
      </c>
      <c r="C45" s="7">
        <v>1922</v>
      </c>
      <c r="D45" s="7">
        <v>2</v>
      </c>
      <c r="E45" s="7">
        <f t="shared" si="8"/>
        <v>1.0405827263267431E-3</v>
      </c>
      <c r="H45" s="4" t="s">
        <v>16</v>
      </c>
      <c r="I45" s="7">
        <v>7685</v>
      </c>
      <c r="J45" s="7">
        <v>5</v>
      </c>
      <c r="K45" s="7">
        <f t="shared" si="9"/>
        <v>6.5061808718282373E-4</v>
      </c>
      <c r="N45" s="4" t="s">
        <v>16</v>
      </c>
      <c r="O45" s="7">
        <v>576001</v>
      </c>
      <c r="P45" s="7">
        <v>84481</v>
      </c>
      <c r="Q45" s="7">
        <f t="shared" si="10"/>
        <v>0.14666814814557613</v>
      </c>
    </row>
    <row r="46" spans="2:17" x14ac:dyDescent="0.35">
      <c r="B46" s="4" t="s">
        <v>19</v>
      </c>
      <c r="C46" s="7">
        <v>1922</v>
      </c>
      <c r="D46" s="7">
        <v>2</v>
      </c>
      <c r="E46" s="7">
        <f t="shared" si="8"/>
        <v>1.0405827263267431E-3</v>
      </c>
      <c r="H46" s="4" t="s">
        <v>19</v>
      </c>
      <c r="I46" s="7">
        <v>7685</v>
      </c>
      <c r="J46" s="7">
        <v>5</v>
      </c>
      <c r="K46" s="7">
        <f t="shared" si="9"/>
        <v>6.5061808718282373E-4</v>
      </c>
      <c r="N46" s="4" t="s">
        <v>19</v>
      </c>
      <c r="O46" s="7">
        <v>576001</v>
      </c>
      <c r="P46" s="7">
        <v>84481</v>
      </c>
      <c r="Q46" s="7">
        <f t="shared" si="10"/>
        <v>0.14666814814557613</v>
      </c>
    </row>
    <row r="47" spans="2:17" x14ac:dyDescent="0.35">
      <c r="B47" s="5" t="s">
        <v>23</v>
      </c>
      <c r="C47" s="8">
        <v>1922</v>
      </c>
      <c r="D47" s="8">
        <v>2</v>
      </c>
      <c r="E47" s="8">
        <f>D47/C47</f>
        <v>1.0405827263267431E-3</v>
      </c>
      <c r="H47" s="5" t="s">
        <v>23</v>
      </c>
      <c r="I47" s="8">
        <v>7685</v>
      </c>
      <c r="J47" s="8">
        <v>5</v>
      </c>
      <c r="K47" s="8">
        <f>J47/I47</f>
        <v>6.5061808718282373E-4</v>
      </c>
      <c r="N47" s="5" t="s">
        <v>23</v>
      </c>
      <c r="O47" s="8">
        <v>580000</v>
      </c>
      <c r="P47" s="8">
        <v>88480</v>
      </c>
      <c r="Q47" s="8">
        <f>P47/O47</f>
        <v>0.15255172413793103</v>
      </c>
    </row>
    <row r="48" spans="2:17" x14ac:dyDescent="0.35">
      <c r="B48" s="5" t="s">
        <v>28</v>
      </c>
      <c r="C48" s="8">
        <v>1922</v>
      </c>
      <c r="D48" s="8">
        <v>2</v>
      </c>
      <c r="E48" s="8">
        <f t="shared" ref="E48:E49" si="11">D48/C48</f>
        <v>1.0405827263267431E-3</v>
      </c>
      <c r="H48" s="5" t="s">
        <v>28</v>
      </c>
      <c r="I48" s="8">
        <v>7685</v>
      </c>
      <c r="J48" s="8">
        <v>5</v>
      </c>
      <c r="K48" s="8">
        <f t="shared" ref="K48:K49" si="12">J48/I48</f>
        <v>6.5061808718282373E-4</v>
      </c>
      <c r="N48" s="5" t="s">
        <v>28</v>
      </c>
      <c r="O48" s="8">
        <v>576001</v>
      </c>
      <c r="P48" s="8">
        <v>84481</v>
      </c>
      <c r="Q48" s="8">
        <f t="shared" ref="Q48:Q49" si="13">P48/O48</f>
        <v>0.14666814814557613</v>
      </c>
    </row>
    <row r="49" spans="2:17" x14ac:dyDescent="0.35">
      <c r="B49" s="5" t="s">
        <v>29</v>
      </c>
      <c r="C49" s="8">
        <v>1922</v>
      </c>
      <c r="D49" s="8">
        <v>2</v>
      </c>
      <c r="E49" s="8">
        <f t="shared" si="11"/>
        <v>1.0405827263267431E-3</v>
      </c>
      <c r="H49" s="5" t="s">
        <v>29</v>
      </c>
      <c r="I49" s="8">
        <v>7685</v>
      </c>
      <c r="J49" s="8">
        <v>5</v>
      </c>
      <c r="K49" s="8">
        <f t="shared" si="12"/>
        <v>6.5061808718282373E-4</v>
      </c>
      <c r="N49" s="5" t="s">
        <v>29</v>
      </c>
      <c r="O49" s="8">
        <v>576001</v>
      </c>
      <c r="P49" s="8">
        <v>84481</v>
      </c>
      <c r="Q49" s="8">
        <f t="shared" si="13"/>
        <v>0.14666814814557613</v>
      </c>
    </row>
    <row r="51" spans="2:17" x14ac:dyDescent="0.35">
      <c r="B51" s="2" t="s">
        <v>0</v>
      </c>
      <c r="C51" s="2" t="s">
        <v>1</v>
      </c>
      <c r="D51" s="2" t="s">
        <v>2</v>
      </c>
      <c r="E51" s="2" t="s">
        <v>22</v>
      </c>
      <c r="H51" s="2" t="s">
        <v>0</v>
      </c>
      <c r="I51" s="2" t="s">
        <v>1</v>
      </c>
      <c r="J51" s="2" t="s">
        <v>2</v>
      </c>
      <c r="K51" s="2" t="s">
        <v>22</v>
      </c>
      <c r="N51" s="2" t="s">
        <v>0</v>
      </c>
      <c r="O51" s="2" t="s">
        <v>1</v>
      </c>
      <c r="P51" s="2" t="s">
        <v>2</v>
      </c>
      <c r="Q51" s="2" t="s">
        <v>22</v>
      </c>
    </row>
    <row r="52" spans="2:17" x14ac:dyDescent="0.35">
      <c r="B52" s="3" t="s">
        <v>5</v>
      </c>
      <c r="C52" s="6">
        <v>1921</v>
      </c>
      <c r="D52" s="6">
        <v>1</v>
      </c>
      <c r="E52" s="6">
        <f t="shared" ref="E52:E57" si="14">D52/C52</f>
        <v>5.2056220718375845E-4</v>
      </c>
      <c r="H52" s="3" t="s">
        <v>5</v>
      </c>
      <c r="I52" s="6">
        <v>7682</v>
      </c>
      <c r="J52" s="6">
        <v>2</v>
      </c>
      <c r="K52" s="6">
        <f t="shared" ref="K52:K57" si="15">J52/I52</f>
        <v>2.6034886748242648E-4</v>
      </c>
      <c r="N52" s="3" t="s">
        <v>5</v>
      </c>
      <c r="O52" s="6">
        <v>543120</v>
      </c>
      <c r="P52" s="6">
        <v>51600</v>
      </c>
      <c r="Q52" s="6">
        <f t="shared" ref="Q52:Q57" si="16">P52/O52</f>
        <v>9.5006628369421128E-2</v>
      </c>
    </row>
    <row r="53" spans="2:17" x14ac:dyDescent="0.35">
      <c r="B53" s="3" t="s">
        <v>8</v>
      </c>
      <c r="C53" s="6">
        <v>1921</v>
      </c>
      <c r="D53" s="6">
        <v>1</v>
      </c>
      <c r="E53" s="6">
        <f t="shared" si="14"/>
        <v>5.2056220718375845E-4</v>
      </c>
      <c r="H53" s="3" t="s">
        <v>8</v>
      </c>
      <c r="I53" s="6">
        <v>7682</v>
      </c>
      <c r="J53" s="6">
        <v>2</v>
      </c>
      <c r="K53" s="6">
        <f t="shared" si="15"/>
        <v>2.6034886748242648E-4</v>
      </c>
      <c r="N53" s="3" t="s">
        <v>8</v>
      </c>
      <c r="O53" s="6">
        <v>532801</v>
      </c>
      <c r="P53" s="6">
        <v>41281</v>
      </c>
      <c r="Q53" s="6">
        <f t="shared" si="16"/>
        <v>7.7479208935418667E-2</v>
      </c>
    </row>
    <row r="54" spans="2:17" x14ac:dyDescent="0.35">
      <c r="B54" s="3" t="s">
        <v>11</v>
      </c>
      <c r="C54" s="6">
        <v>1921</v>
      </c>
      <c r="D54" s="6">
        <v>1</v>
      </c>
      <c r="E54" s="6">
        <f t="shared" si="14"/>
        <v>5.2056220718375845E-4</v>
      </c>
      <c r="H54" s="3" t="s">
        <v>11</v>
      </c>
      <c r="I54" s="6">
        <v>7682</v>
      </c>
      <c r="J54" s="6">
        <v>2</v>
      </c>
      <c r="K54" s="6">
        <f t="shared" si="15"/>
        <v>2.6034886748242648E-4</v>
      </c>
      <c r="N54" s="3" t="s">
        <v>11</v>
      </c>
      <c r="O54" s="6">
        <v>532801</v>
      </c>
      <c r="P54" s="6">
        <v>41281</v>
      </c>
      <c r="Q54" s="6">
        <f t="shared" si="16"/>
        <v>7.7479208935418667E-2</v>
      </c>
    </row>
    <row r="55" spans="2:17" x14ac:dyDescent="0.35">
      <c r="B55" s="4" t="s">
        <v>14</v>
      </c>
      <c r="C55" s="7">
        <v>1921</v>
      </c>
      <c r="D55" s="7">
        <v>1</v>
      </c>
      <c r="E55" s="7">
        <f t="shared" si="14"/>
        <v>5.2056220718375845E-4</v>
      </c>
      <c r="H55" s="4" t="s">
        <v>14</v>
      </c>
      <c r="I55" s="7">
        <v>7682</v>
      </c>
      <c r="J55" s="7">
        <v>2</v>
      </c>
      <c r="K55" s="7">
        <f t="shared" si="15"/>
        <v>2.6034886748242648E-4</v>
      </c>
      <c r="N55" s="4" t="s">
        <v>14</v>
      </c>
      <c r="O55" s="7">
        <v>537960</v>
      </c>
      <c r="P55" s="7">
        <v>46440</v>
      </c>
      <c r="Q55" s="7">
        <f t="shared" si="16"/>
        <v>8.6326120901182246E-2</v>
      </c>
    </row>
    <row r="56" spans="2:17" x14ac:dyDescent="0.35">
      <c r="B56" s="4" t="s">
        <v>17</v>
      </c>
      <c r="C56" s="7">
        <v>1921</v>
      </c>
      <c r="D56" s="7">
        <v>1</v>
      </c>
      <c r="E56" s="7">
        <f t="shared" si="14"/>
        <v>5.2056220718375845E-4</v>
      </c>
      <c r="H56" s="4" t="s">
        <v>17</v>
      </c>
      <c r="I56" s="7">
        <v>7682</v>
      </c>
      <c r="J56" s="7">
        <v>2</v>
      </c>
      <c r="K56" s="7">
        <f t="shared" si="15"/>
        <v>2.6034886748242648E-4</v>
      </c>
      <c r="N56" s="4" t="s">
        <v>17</v>
      </c>
      <c r="O56" s="7">
        <v>532801</v>
      </c>
      <c r="P56" s="7">
        <v>41281</v>
      </c>
      <c r="Q56" s="7">
        <f t="shared" si="16"/>
        <v>7.7479208935418667E-2</v>
      </c>
    </row>
    <row r="57" spans="2:17" x14ac:dyDescent="0.35">
      <c r="B57" s="4" t="s">
        <v>20</v>
      </c>
      <c r="C57" s="7">
        <v>1921</v>
      </c>
      <c r="D57" s="7">
        <v>1</v>
      </c>
      <c r="E57" s="7">
        <f t="shared" si="14"/>
        <v>5.2056220718375845E-4</v>
      </c>
      <c r="H57" s="4" t="s">
        <v>20</v>
      </c>
      <c r="I57" s="7">
        <v>7682</v>
      </c>
      <c r="J57" s="7">
        <v>2</v>
      </c>
      <c r="K57" s="7">
        <f t="shared" si="15"/>
        <v>2.6034886748242648E-4</v>
      </c>
      <c r="N57" s="4" t="s">
        <v>20</v>
      </c>
      <c r="O57" s="7">
        <v>532801</v>
      </c>
      <c r="P57" s="7">
        <v>41281</v>
      </c>
      <c r="Q57" s="7">
        <f t="shared" si="16"/>
        <v>7.7479208935418667E-2</v>
      </c>
    </row>
    <row r="58" spans="2:17" x14ac:dyDescent="0.35">
      <c r="B58" s="5" t="s">
        <v>24</v>
      </c>
      <c r="C58" s="8">
        <v>1921</v>
      </c>
      <c r="D58" s="8">
        <v>1</v>
      </c>
      <c r="E58" s="8">
        <f>D58/C58</f>
        <v>5.2056220718375845E-4</v>
      </c>
      <c r="H58" s="5" t="s">
        <v>24</v>
      </c>
      <c r="I58" s="8">
        <v>7682</v>
      </c>
      <c r="J58" s="8">
        <v>2</v>
      </c>
      <c r="K58" s="8">
        <f>J58/I58</f>
        <v>2.6034886748242648E-4</v>
      </c>
      <c r="N58" s="5" t="s">
        <v>24</v>
      </c>
      <c r="O58" s="8">
        <v>535380</v>
      </c>
      <c r="P58" s="8">
        <v>43860</v>
      </c>
      <c r="Q58" s="8">
        <f>P58/O58</f>
        <v>8.1923120026896779E-2</v>
      </c>
    </row>
    <row r="59" spans="2:17" x14ac:dyDescent="0.35">
      <c r="B59" s="5" t="s">
        <v>26</v>
      </c>
      <c r="C59" s="8">
        <v>1921</v>
      </c>
      <c r="D59" s="8">
        <v>1</v>
      </c>
      <c r="E59" s="8">
        <f t="shared" ref="E59:E60" si="17">D59/C59</f>
        <v>5.2056220718375845E-4</v>
      </c>
      <c r="H59" s="5" t="s">
        <v>26</v>
      </c>
      <c r="I59" s="8">
        <v>7682</v>
      </c>
      <c r="J59" s="8">
        <v>2</v>
      </c>
      <c r="K59" s="8">
        <f t="shared" ref="K59:K60" si="18">J59/I59</f>
        <v>2.6034886748242648E-4</v>
      </c>
      <c r="N59" s="5" t="s">
        <v>26</v>
      </c>
      <c r="O59" s="8">
        <v>532801</v>
      </c>
      <c r="P59" s="8">
        <v>41281</v>
      </c>
      <c r="Q59" s="8">
        <f t="shared" ref="Q59:Q60" si="19">P59/O59</f>
        <v>7.7479208935418667E-2</v>
      </c>
    </row>
    <row r="60" spans="2:17" x14ac:dyDescent="0.35">
      <c r="B60" s="5" t="s">
        <v>30</v>
      </c>
      <c r="C60" s="8">
        <v>1921</v>
      </c>
      <c r="D60" s="8">
        <v>1</v>
      </c>
      <c r="E60" s="8">
        <f t="shared" si="17"/>
        <v>5.2056220718375845E-4</v>
      </c>
      <c r="H60" s="5" t="s">
        <v>30</v>
      </c>
      <c r="I60" s="8">
        <v>7682</v>
      </c>
      <c r="J60" s="8">
        <v>2</v>
      </c>
      <c r="K60" s="8">
        <f t="shared" si="18"/>
        <v>2.6034886748242648E-4</v>
      </c>
      <c r="N60" s="5" t="s">
        <v>30</v>
      </c>
      <c r="O60" s="8">
        <v>532801</v>
      </c>
      <c r="P60" s="8">
        <v>41281</v>
      </c>
      <c r="Q60" s="8">
        <f t="shared" si="19"/>
        <v>7.7479208935418667E-2</v>
      </c>
    </row>
    <row r="62" spans="2:17" x14ac:dyDescent="0.35">
      <c r="B62" s="2" t="s">
        <v>0</v>
      </c>
      <c r="C62" s="2" t="s">
        <v>1</v>
      </c>
      <c r="D62" s="2" t="s">
        <v>2</v>
      </c>
      <c r="E62" s="2" t="s">
        <v>22</v>
      </c>
      <c r="H62" s="2" t="s">
        <v>0</v>
      </c>
      <c r="I62" s="2" t="s">
        <v>1</v>
      </c>
      <c r="J62" s="2" t="s">
        <v>2</v>
      </c>
      <c r="K62" s="2" t="s">
        <v>22</v>
      </c>
      <c r="N62" s="2" t="s">
        <v>0</v>
      </c>
      <c r="O62" s="2" t="s">
        <v>1</v>
      </c>
      <c r="P62" s="2" t="s">
        <v>2</v>
      </c>
      <c r="Q62" s="2" t="s">
        <v>22</v>
      </c>
    </row>
    <row r="63" spans="2:17" x14ac:dyDescent="0.35">
      <c r="B63" s="3" t="s">
        <v>6</v>
      </c>
      <c r="C63" s="6">
        <v>1921</v>
      </c>
      <c r="D63" s="6">
        <v>1</v>
      </c>
      <c r="E63" s="6">
        <f t="shared" ref="E63:E65" si="20">D63/C63</f>
        <v>5.2056220718375845E-4</v>
      </c>
      <c r="H63" s="3" t="s">
        <v>6</v>
      </c>
      <c r="I63" s="6">
        <v>7681</v>
      </c>
      <c r="J63" s="6">
        <v>1</v>
      </c>
      <c r="K63" s="6">
        <f t="shared" ref="K63:K65" si="21">J63/I63</f>
        <v>1.3019138133055591E-4</v>
      </c>
      <c r="N63" s="3" t="s">
        <v>6</v>
      </c>
      <c r="O63" s="6">
        <v>504420</v>
      </c>
      <c r="P63" s="6">
        <v>12900</v>
      </c>
      <c r="Q63" s="6">
        <f t="shared" ref="Q63:Q65" si="22">P63/O63</f>
        <v>2.5573926489829903E-2</v>
      </c>
    </row>
    <row r="64" spans="2:17" x14ac:dyDescent="0.35">
      <c r="B64" s="3" t="s">
        <v>9</v>
      </c>
      <c r="C64" s="6">
        <v>1921</v>
      </c>
      <c r="D64" s="6">
        <v>1</v>
      </c>
      <c r="E64" s="6">
        <f t="shared" si="20"/>
        <v>5.2056220718375845E-4</v>
      </c>
      <c r="H64" s="3" t="s">
        <v>9</v>
      </c>
      <c r="I64" s="6">
        <v>7681</v>
      </c>
      <c r="J64" s="6">
        <v>1</v>
      </c>
      <c r="K64" s="6">
        <f t="shared" si="21"/>
        <v>1.3019138133055591E-4</v>
      </c>
      <c r="N64" s="3" t="s">
        <v>9</v>
      </c>
      <c r="O64" s="6">
        <v>501841</v>
      </c>
      <c r="P64" s="6">
        <v>10321</v>
      </c>
      <c r="Q64" s="6">
        <f t="shared" si="22"/>
        <v>2.0566274975540061E-2</v>
      </c>
    </row>
    <row r="65" spans="2:17" x14ac:dyDescent="0.35">
      <c r="B65" s="3" t="s">
        <v>12</v>
      </c>
      <c r="C65" s="6">
        <v>1921</v>
      </c>
      <c r="D65" s="6">
        <v>1</v>
      </c>
      <c r="E65" s="6">
        <f t="shared" si="20"/>
        <v>5.2056220718375845E-4</v>
      </c>
      <c r="H65" s="3" t="s">
        <v>12</v>
      </c>
      <c r="I65" s="6">
        <v>7681</v>
      </c>
      <c r="J65" s="6">
        <v>1</v>
      </c>
      <c r="K65" s="6">
        <f t="shared" si="21"/>
        <v>1.3019138133055591E-4</v>
      </c>
      <c r="N65" s="3" t="s">
        <v>12</v>
      </c>
      <c r="O65" s="6">
        <v>501841</v>
      </c>
      <c r="P65" s="6">
        <v>10321</v>
      </c>
      <c r="Q65" s="6">
        <f t="shared" si="22"/>
        <v>2.0566274975540061E-2</v>
      </c>
    </row>
    <row r="66" spans="2:17" x14ac:dyDescent="0.35">
      <c r="B66" s="4" t="s">
        <v>15</v>
      </c>
      <c r="C66" s="7">
        <v>1921</v>
      </c>
      <c r="D66" s="7">
        <v>1</v>
      </c>
      <c r="E66" s="7">
        <f>D66/C66</f>
        <v>5.2056220718375845E-4</v>
      </c>
      <c r="H66" s="4" t="s">
        <v>15</v>
      </c>
      <c r="I66" s="7">
        <v>7681</v>
      </c>
      <c r="J66" s="7">
        <v>1</v>
      </c>
      <c r="K66" s="7">
        <f>J66/I66</f>
        <v>1.3019138133055591E-4</v>
      </c>
      <c r="N66" s="4" t="s">
        <v>15</v>
      </c>
      <c r="O66" s="7">
        <v>503130</v>
      </c>
      <c r="P66" s="7">
        <v>11610</v>
      </c>
      <c r="Q66" s="7">
        <f>P66/O66</f>
        <v>2.3075547075308567E-2</v>
      </c>
    </row>
    <row r="67" spans="2:17" x14ac:dyDescent="0.35">
      <c r="B67" s="4" t="s">
        <v>18</v>
      </c>
      <c r="C67" s="7">
        <v>1921</v>
      </c>
      <c r="D67" s="7">
        <v>1</v>
      </c>
      <c r="E67" s="7">
        <f t="shared" ref="E67" si="23">D67/C67</f>
        <v>5.2056220718375845E-4</v>
      </c>
      <c r="H67" s="4" t="s">
        <v>18</v>
      </c>
      <c r="I67" s="7">
        <v>7681</v>
      </c>
      <c r="J67" s="7">
        <v>1</v>
      </c>
      <c r="K67" s="7">
        <f t="shared" ref="K67" si="24">J67/I67</f>
        <v>1.3019138133055591E-4</v>
      </c>
      <c r="N67" s="4" t="s">
        <v>18</v>
      </c>
      <c r="O67" s="7">
        <v>501841</v>
      </c>
      <c r="P67" s="7">
        <v>10321</v>
      </c>
      <c r="Q67" s="7">
        <f t="shared" ref="Q67" si="25">P67/O67</f>
        <v>2.0566274975540061E-2</v>
      </c>
    </row>
    <row r="68" spans="2:17" x14ac:dyDescent="0.35">
      <c r="B68" s="4" t="s">
        <v>21</v>
      </c>
      <c r="C68" s="7">
        <v>1921</v>
      </c>
      <c r="D68" s="7">
        <v>1</v>
      </c>
      <c r="E68" s="7">
        <f>D68/C68</f>
        <v>5.2056220718375845E-4</v>
      </c>
      <c r="H68" s="4" t="s">
        <v>21</v>
      </c>
      <c r="I68" s="7">
        <v>7681</v>
      </c>
      <c r="J68" s="7">
        <v>1</v>
      </c>
      <c r="K68" s="7">
        <f>J68/I68</f>
        <v>1.3019138133055591E-4</v>
      </c>
      <c r="N68" s="4" t="s">
        <v>21</v>
      </c>
      <c r="O68" s="7">
        <v>501841</v>
      </c>
      <c r="P68" s="7">
        <v>10321</v>
      </c>
      <c r="Q68" s="7">
        <f>P68/O68</f>
        <v>2.0566274975540061E-2</v>
      </c>
    </row>
    <row r="69" spans="2:17" x14ac:dyDescent="0.35">
      <c r="B69" s="5" t="s">
        <v>25</v>
      </c>
      <c r="C69" s="8">
        <v>1921</v>
      </c>
      <c r="D69" s="8">
        <v>1</v>
      </c>
      <c r="E69" s="8">
        <f t="shared" ref="E69:E71" si="26">D69/C69</f>
        <v>5.2056220718375845E-4</v>
      </c>
      <c r="H69" s="5" t="s">
        <v>25</v>
      </c>
      <c r="I69" s="8">
        <v>7681</v>
      </c>
      <c r="J69" s="8">
        <v>1</v>
      </c>
      <c r="K69" s="8">
        <f t="shared" ref="K69:K71" si="27">J69/I69</f>
        <v>1.3019138133055591E-4</v>
      </c>
      <c r="N69" s="5" t="s">
        <v>25</v>
      </c>
      <c r="O69" s="8">
        <v>502485</v>
      </c>
      <c r="P69" s="8">
        <v>10965</v>
      </c>
      <c r="Q69" s="8">
        <f t="shared" ref="Q69:Q71" si="28">P69/O69</f>
        <v>2.1821546911848115E-2</v>
      </c>
    </row>
    <row r="70" spans="2:17" x14ac:dyDescent="0.35">
      <c r="B70" s="5" t="s">
        <v>27</v>
      </c>
      <c r="C70" s="8">
        <v>1921</v>
      </c>
      <c r="D70" s="8">
        <v>1</v>
      </c>
      <c r="E70" s="8">
        <f t="shared" si="26"/>
        <v>5.2056220718375845E-4</v>
      </c>
      <c r="H70" s="5" t="s">
        <v>27</v>
      </c>
      <c r="I70" s="8">
        <v>7681</v>
      </c>
      <c r="J70" s="8">
        <v>1</v>
      </c>
      <c r="K70" s="8">
        <f t="shared" si="27"/>
        <v>1.3019138133055591E-4</v>
      </c>
      <c r="N70" s="5" t="s">
        <v>27</v>
      </c>
      <c r="O70" s="8">
        <v>501841</v>
      </c>
      <c r="P70" s="8">
        <v>10321</v>
      </c>
      <c r="Q70" s="8">
        <f t="shared" si="28"/>
        <v>2.0566274975540061E-2</v>
      </c>
    </row>
    <row r="71" spans="2:17" x14ac:dyDescent="0.35">
      <c r="B71" s="5" t="s">
        <v>31</v>
      </c>
      <c r="C71" s="8">
        <v>1921</v>
      </c>
      <c r="D71" s="8">
        <v>1</v>
      </c>
      <c r="E71" s="8">
        <f t="shared" si="26"/>
        <v>5.2056220718375845E-4</v>
      </c>
      <c r="H71" s="5" t="s">
        <v>31</v>
      </c>
      <c r="I71" s="8">
        <v>7681</v>
      </c>
      <c r="J71" s="8">
        <v>1</v>
      </c>
      <c r="K71" s="8">
        <f t="shared" si="27"/>
        <v>1.3019138133055591E-4</v>
      </c>
      <c r="N71" s="5" t="s">
        <v>31</v>
      </c>
      <c r="O71" s="8">
        <v>501841</v>
      </c>
      <c r="P71" s="8">
        <v>10321</v>
      </c>
      <c r="Q71" s="8">
        <f t="shared" si="28"/>
        <v>2.0566274975540061E-2</v>
      </c>
    </row>
    <row r="115" spans="17:19" x14ac:dyDescent="0.35">
      <c r="Q115" t="s">
        <v>3</v>
      </c>
      <c r="S115" t="s">
        <v>3</v>
      </c>
    </row>
  </sheetData>
  <mergeCells count="6">
    <mergeCell ref="B36:E36"/>
    <mergeCell ref="H36:K36"/>
    <mergeCell ref="N36:Q36"/>
    <mergeCell ref="N3:Q3"/>
    <mergeCell ref="H3:K3"/>
    <mergeCell ref="B3:E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Gabriela Herrera Rojas</dc:creator>
  <cp:lastModifiedBy>Maria Gabriela Herrera Rojas</cp:lastModifiedBy>
  <dcterms:created xsi:type="dcterms:W3CDTF">2026-09-30T22:50:24Z</dcterms:created>
  <dcterms:modified xsi:type="dcterms:W3CDTF">2026-10-01T03:18:42Z</dcterms:modified>
</cp:coreProperties>
</file>